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kuiper/Documents/Code/lad-generic/results/"/>
    </mc:Choice>
  </mc:AlternateContent>
  <xr:revisionPtr revIDLastSave="0" documentId="13_ncr:1_{E75C179B-9726-9642-8F23-5C1768213476}" xr6:coauthVersionLast="47" xr6:coauthVersionMax="47" xr10:uidLastSave="{00000000-0000-0000-0000-000000000000}"/>
  <bookViews>
    <workbookView xWindow="0" yWindow="660" windowWidth="30240" windowHeight="16980" xr2:uid="{687A0274-58F3-8346-9285-04D735995E1B}"/>
  </bookViews>
  <sheets>
    <sheet name="Primary outcomes" sheetId="1" r:id="rId1"/>
    <sheet name="Training progre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7" i="1" l="1"/>
  <c r="K17" i="1"/>
  <c r="O17" i="1"/>
  <c r="P17" i="1"/>
  <c r="J17" i="1"/>
  <c r="Y7" i="1"/>
  <c r="Y8" i="1"/>
  <c r="Y9" i="1"/>
  <c r="Y10" i="1"/>
  <c r="Y11" i="1"/>
  <c r="Y12" i="1"/>
  <c r="Y13" i="1"/>
  <c r="Y14" i="1"/>
  <c r="Y15" i="1"/>
  <c r="Z14" i="1"/>
  <c r="Z8" i="1"/>
  <c r="Z9" i="1"/>
  <c r="Z10" i="1"/>
  <c r="Z11" i="1"/>
  <c r="Z12" i="1"/>
  <c r="Z13" i="1"/>
  <c r="Z15" i="1"/>
  <c r="Z7" i="1"/>
  <c r="T17" i="1"/>
  <c r="R17" i="1"/>
  <c r="S17" i="1"/>
  <c r="I17" i="1"/>
  <c r="M17" i="1"/>
  <c r="G17" i="1"/>
  <c r="U17" i="1"/>
  <c r="V17" i="1"/>
  <c r="W17" i="1"/>
  <c r="E17" i="1"/>
  <c r="D17" i="1"/>
  <c r="C17" i="1"/>
  <c r="Z17" i="1" l="1"/>
  <c r="Y17" i="1"/>
</calcChain>
</file>

<file path=xl/sharedStrings.xml><?xml version="1.0" encoding="utf-8"?>
<sst xmlns="http://schemas.openxmlformats.org/spreadsheetml/2006/main" count="69" uniqueCount="54">
  <si>
    <t>arc_c</t>
  </si>
  <si>
    <t>gpqa</t>
  </si>
  <si>
    <t>gsm8k</t>
  </si>
  <si>
    <t>hellaswag</t>
  </si>
  <si>
    <t>humaneval</t>
  </si>
  <si>
    <t>math</t>
  </si>
  <si>
    <t>mbpp</t>
  </si>
  <si>
    <t>mmlu</t>
  </si>
  <si>
    <t>mmlu_pro</t>
  </si>
  <si>
    <t>model</t>
  </si>
  <si>
    <t>LLaDA-8B-Instruct</t>
  </si>
  <si>
    <t>LAD-8B-mask</t>
  </si>
  <si>
    <t>LAD-8B-struct</t>
  </si>
  <si>
    <t>Average</t>
  </si>
  <si>
    <t>task</t>
  </si>
  <si>
    <t>(128 tokens, 64 iterations)</t>
  </si>
  <si>
    <t>(128 tokens, 128 iterations)</t>
  </si>
  <si>
    <t>(128 tokens, 32 iterations)</t>
  </si>
  <si>
    <t>Phi-4 14B</t>
  </si>
  <si>
    <t>Dream-Instruct</t>
  </si>
  <si>
    <t>iLLaDA-Instruct</t>
  </si>
  <si>
    <t>Efficient-DLM 8B</t>
  </si>
  <si>
    <t>LAD-8B-struct-legacy</t>
  </si>
  <si>
    <t>llama-3.1-8b-mask</t>
  </si>
  <si>
    <t>qwen-2.5-7b-mask</t>
  </si>
  <si>
    <t>gemma-2-9b-mask</t>
  </si>
  <si>
    <t>llama-3.1-8b-struct</t>
  </si>
  <si>
    <t>llama-3.1-8b-autoregressive</t>
  </si>
  <si>
    <t>gemma-2-9b-autoregressive</t>
  </si>
  <si>
    <t>ministral-autoregressive</t>
  </si>
  <si>
    <t>ministral-mask</t>
  </si>
  <si>
    <t>qwen-2.5-7b-autoregressive</t>
  </si>
  <si>
    <t>LLaDA-Instruct (according to paper)</t>
  </si>
  <si>
    <t>LLaDA-8B-Instruct (own validation)</t>
  </si>
  <si>
    <t>Red tekst</t>
  </si>
  <si>
    <t>Black tekst</t>
  </si>
  <si>
    <t>measured over 50 samples</t>
  </si>
  <si>
    <t>measured over 250 samples</t>
  </si>
  <si>
    <t>llama-3.1-8b-mask-merged</t>
  </si>
  <si>
    <t>llama-3.1-8b-mask-continued</t>
  </si>
  <si>
    <t>Training iterations</t>
  </si>
  <si>
    <t>LlaDa (32 it.)</t>
  </si>
  <si>
    <t>LlaDa (64 it.)</t>
  </si>
  <si>
    <t>LlaDa (128 it.)</t>
  </si>
  <si>
    <t>LAD-Llama (32 it.)</t>
  </si>
  <si>
    <t>LAD-Llama (128 it.)</t>
  </si>
  <si>
    <t>LAD-Llama (64 it.)</t>
  </si>
  <si>
    <t>LAD-Gemma (32 it.)</t>
  </si>
  <si>
    <t>LAD-Gemma (64 it.)</t>
  </si>
  <si>
    <t>LAD-Gemma (128 it.)</t>
  </si>
  <si>
    <t>128 tokens generated</t>
  </si>
  <si>
    <t>temp = 0.7</t>
  </si>
  <si>
    <t>Perplexity (using Phi-4 14B)</t>
  </si>
  <si>
    <t>1-gram repetition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</si>
</sst>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rgb="FF1F1F1F"/>
      <name val="Arial"/>
      <family val="2"/>
    </font>
    <font>
      <sz val="14"/>
      <color rgb="FF1F1F1F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10" fontId="3" fillId="0" borderId="0" xfId="0" applyNumberFormat="1" applyFont="1"/>
    <xf numFmtId="0" fontId="4" fillId="0" borderId="0" xfId="0" applyFont="1"/>
    <xf numFmtId="2" fontId="3" fillId="0" borderId="0" xfId="0" applyNumberFormat="1" applyFont="1"/>
    <xf numFmtId="2" fontId="4" fillId="0" borderId="0" xfId="0" applyNumberFormat="1" applyFont="1"/>
    <xf numFmtId="10" fontId="4" fillId="0" borderId="0" xfId="0" applyNumberFormat="1" applyFont="1"/>
    <xf numFmtId="0" fontId="5" fillId="0" borderId="0" xfId="0" applyFont="1"/>
    <xf numFmtId="0" fontId="3" fillId="0" borderId="0" xfId="0" applyFont="1"/>
    <xf numFmtId="164" fontId="3" fillId="0" borderId="0" xfId="0" applyNumberFormat="1" applyFont="1"/>
    <xf numFmtId="164" fontId="4" fillId="0" borderId="0" xfId="1" applyNumberFormat="1" applyFont="1"/>
    <xf numFmtId="164" fontId="4" fillId="0" borderId="0" xfId="0" applyNumberFormat="1" applyFont="1"/>
    <xf numFmtId="164" fontId="5" fillId="0" borderId="0" xfId="0" applyNumberFormat="1" applyFont="1"/>
    <xf numFmtId="0" fontId="4" fillId="0" borderId="0" xfId="1" applyNumberFormat="1" applyFont="1"/>
    <xf numFmtId="0" fontId="6" fillId="0" borderId="0" xfId="0" applyFont="1"/>
    <xf numFmtId="164" fontId="6" fillId="0" borderId="0" xfId="0" applyNumberFormat="1" applyFont="1"/>
    <xf numFmtId="2" fontId="4" fillId="0" borderId="0" xfId="1" applyNumberFormat="1" applyFont="1"/>
    <xf numFmtId="2" fontId="2" fillId="0" borderId="0" xfId="0" applyNumberFormat="1" applyFont="1"/>
    <xf numFmtId="10" fontId="2" fillId="0" borderId="0" xfId="0" applyNumberFormat="1" applyFont="1"/>
    <xf numFmtId="10" fontId="4" fillId="0" borderId="0" xfId="1" applyNumberFormat="1" applyFont="1"/>
    <xf numFmtId="10" fontId="3" fillId="0" borderId="0" xfId="1" applyNumberFormat="1" applyFont="1"/>
    <xf numFmtId="10" fontId="2" fillId="0" borderId="0" xfId="1" applyNumberFormat="1" applyFont="1"/>
    <xf numFmtId="0" fontId="5" fillId="0" borderId="0" xfId="0" applyFont="1" applyAlignment="1">
      <alignment horizontal="center" vertical="center" textRotation="90"/>
    </xf>
    <xf numFmtId="1" fontId="4" fillId="0" borderId="0" xfId="0" applyNumberFormat="1" applyFont="1"/>
    <xf numFmtId="1" fontId="3" fillId="0" borderId="0" xfId="0" applyNumberFormat="1" applyFont="1"/>
    <xf numFmtId="0" fontId="5" fillId="0" borderId="0" xfId="0" applyFont="1" applyAlignment="1">
      <alignment horizontal="center" vertical="center" textRotation="90"/>
    </xf>
    <xf numFmtId="0" fontId="4" fillId="0" borderId="0" xfId="0" applyFont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E8FFB-2CBA-5749-857E-E9F3A2382F57}">
  <dimension ref="A1:AI94"/>
  <sheetViews>
    <sheetView tabSelected="1" zoomScale="50" zoomScaleNormal="69" workbookViewId="0">
      <selection activeCell="J17" sqref="J17"/>
    </sheetView>
  </sheetViews>
  <sheetFormatPr baseColWidth="10" defaultRowHeight="18" x14ac:dyDescent="0.2"/>
  <cols>
    <col min="1" max="1" width="10.83203125" style="3"/>
    <col min="2" max="2" width="52.83203125" style="3" customWidth="1"/>
    <col min="3" max="3" width="17.5" style="3" bestFit="1" customWidth="1"/>
    <col min="4" max="4" width="17.83203125" style="3" bestFit="1" customWidth="1"/>
    <col min="5" max="5" width="30.5" style="3" bestFit="1" customWidth="1"/>
    <col min="6" max="6" width="17.83203125" style="3" bestFit="1" customWidth="1"/>
    <col min="7" max="7" width="23.83203125" style="3" bestFit="1" customWidth="1"/>
    <col min="8" max="8" width="23.83203125" style="3" customWidth="1"/>
    <col min="9" max="9" width="23.6640625" style="3" bestFit="1" customWidth="1"/>
    <col min="10" max="10" width="34" style="3" bestFit="1" customWidth="1"/>
    <col min="11" max="11" width="34" style="3" customWidth="1"/>
    <col min="12" max="12" width="35.6640625" style="3" bestFit="1" customWidth="1"/>
    <col min="13" max="13" width="23.33203125" style="3" bestFit="1" customWidth="1"/>
    <col min="14" max="17" width="23.33203125" style="3" customWidth="1"/>
    <col min="18" max="18" width="27.1640625" style="3" bestFit="1" customWidth="1"/>
    <col min="19" max="19" width="29.33203125" style="3" customWidth="1"/>
    <col min="20" max="20" width="40.33203125" style="3" customWidth="1"/>
    <col min="21" max="21" width="20" style="3" bestFit="1" customWidth="1"/>
    <col min="22" max="22" width="21.5" style="3" bestFit="1" customWidth="1"/>
    <col min="23" max="23" width="10.83203125" style="3" customWidth="1"/>
    <col min="24" max="24" width="13.6640625" style="3" customWidth="1"/>
    <col min="25" max="29" width="10.83203125" style="3" customWidth="1"/>
    <col min="30" max="16384" width="10.83203125" style="3"/>
  </cols>
  <sheetData>
    <row r="1" spans="2:35" x14ac:dyDescent="0.2">
      <c r="I1" s="14" t="s">
        <v>34</v>
      </c>
      <c r="J1" s="14"/>
      <c r="K1" s="14"/>
      <c r="L1" s="3" t="s">
        <v>37</v>
      </c>
      <c r="M1" s="7"/>
      <c r="N1" s="7"/>
      <c r="O1" s="7"/>
      <c r="P1" s="7"/>
      <c r="Q1" s="7"/>
    </row>
    <row r="2" spans="2:35" x14ac:dyDescent="0.2">
      <c r="I2" s="3" t="s">
        <v>35</v>
      </c>
      <c r="L2" s="3" t="s">
        <v>36</v>
      </c>
    </row>
    <row r="3" spans="2:35" x14ac:dyDescent="0.2">
      <c r="M3" s="1"/>
      <c r="N3" s="1"/>
      <c r="O3" s="1"/>
      <c r="P3" s="1"/>
      <c r="Q3" s="1"/>
    </row>
    <row r="4" spans="2:35" x14ac:dyDescent="0.2">
      <c r="X4" s="1"/>
    </row>
    <row r="5" spans="2:35" x14ac:dyDescent="0.2">
      <c r="B5" s="1" t="s">
        <v>9</v>
      </c>
      <c r="C5" s="1" t="s">
        <v>12</v>
      </c>
      <c r="D5" s="1" t="s">
        <v>11</v>
      </c>
      <c r="E5" s="1" t="s">
        <v>10</v>
      </c>
      <c r="F5" s="1"/>
      <c r="G5" s="1" t="s">
        <v>25</v>
      </c>
      <c r="H5" s="1" t="s">
        <v>28</v>
      </c>
      <c r="I5" s="1" t="s">
        <v>23</v>
      </c>
      <c r="J5" s="1" t="s">
        <v>38</v>
      </c>
      <c r="K5" s="1" t="s">
        <v>39</v>
      </c>
      <c r="L5" s="1" t="s">
        <v>27</v>
      </c>
      <c r="M5" s="1" t="s">
        <v>24</v>
      </c>
      <c r="N5" s="1" t="s">
        <v>31</v>
      </c>
      <c r="O5" s="1" t="s">
        <v>30</v>
      </c>
      <c r="P5" s="1" t="s">
        <v>29</v>
      </c>
      <c r="Q5" s="1" t="s">
        <v>26</v>
      </c>
      <c r="R5" s="1" t="s">
        <v>22</v>
      </c>
      <c r="S5" s="1" t="s">
        <v>33</v>
      </c>
      <c r="T5" s="7" t="s">
        <v>32</v>
      </c>
      <c r="U5" s="7" t="s">
        <v>19</v>
      </c>
      <c r="V5" s="7" t="s">
        <v>20</v>
      </c>
      <c r="W5" s="7" t="s">
        <v>21</v>
      </c>
      <c r="Y5" s="1"/>
    </row>
    <row r="6" spans="2:35" x14ac:dyDescent="0.2">
      <c r="B6" s="1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2:35" x14ac:dyDescent="0.2">
      <c r="B7" s="1" t="s">
        <v>0</v>
      </c>
      <c r="C7" s="9">
        <v>0.6</v>
      </c>
      <c r="D7" s="9">
        <v>0.7</v>
      </c>
      <c r="E7" s="9">
        <v>0.9</v>
      </c>
      <c r="F7" s="1" t="s">
        <v>0</v>
      </c>
      <c r="G7" s="9">
        <v>0.88</v>
      </c>
      <c r="H7" s="9"/>
      <c r="I7" s="15">
        <v>0.82799999999999996</v>
      </c>
      <c r="J7" s="2">
        <v>0.82</v>
      </c>
      <c r="K7" s="2">
        <v>0.78</v>
      </c>
      <c r="L7" s="15">
        <v>0.77600000000000002</v>
      </c>
      <c r="M7" s="9">
        <v>0.84</v>
      </c>
      <c r="N7" s="9"/>
      <c r="O7" s="9">
        <v>0.82</v>
      </c>
      <c r="P7" s="9">
        <v>0.74</v>
      </c>
      <c r="Q7" s="9">
        <v>0.7</v>
      </c>
      <c r="R7" s="9">
        <v>0.74</v>
      </c>
      <c r="S7" s="9">
        <v>0.88</v>
      </c>
      <c r="T7" s="10">
        <v>0.88500000000000001</v>
      </c>
      <c r="U7" s="10"/>
      <c r="V7" s="10"/>
      <c r="W7" s="10">
        <v>0.61860000000000004</v>
      </c>
      <c r="X7" s="11"/>
      <c r="Y7" s="11">
        <f t="shared" ref="Y7:Y14" si="0">S7-T7</f>
        <v>-5.0000000000000044E-3</v>
      </c>
      <c r="Z7" s="11">
        <f>S7-I7</f>
        <v>5.2000000000000046E-2</v>
      </c>
    </row>
    <row r="8" spans="2:35" x14ac:dyDescent="0.2">
      <c r="B8" s="1" t="s">
        <v>1</v>
      </c>
      <c r="C8" s="9">
        <v>0</v>
      </c>
      <c r="D8" s="9">
        <v>0.4</v>
      </c>
      <c r="E8" s="9">
        <v>0.1</v>
      </c>
      <c r="F8" s="1" t="s">
        <v>1</v>
      </c>
      <c r="G8" s="9">
        <v>0.36</v>
      </c>
      <c r="H8" s="9"/>
      <c r="I8" s="9">
        <v>0.28000000000000003</v>
      </c>
      <c r="J8" s="2">
        <v>0.3</v>
      </c>
      <c r="K8" s="2">
        <v>0.22</v>
      </c>
      <c r="L8" s="9"/>
      <c r="M8" s="9">
        <v>0.38</v>
      </c>
      <c r="N8" s="9"/>
      <c r="O8" s="9">
        <v>0.24</v>
      </c>
      <c r="P8" s="9"/>
      <c r="Q8" s="9">
        <v>0.18</v>
      </c>
      <c r="R8" s="9">
        <v>0.18</v>
      </c>
      <c r="S8" s="9">
        <v>0.3</v>
      </c>
      <c r="T8" s="10">
        <v>0.33299999999999996</v>
      </c>
      <c r="U8" s="10">
        <v>0.33</v>
      </c>
      <c r="V8" s="10"/>
      <c r="W8" s="10"/>
      <c r="X8" s="11"/>
      <c r="Y8" s="11">
        <f t="shared" si="0"/>
        <v>-3.2999999999999974E-2</v>
      </c>
      <c r="Z8" s="11">
        <f t="shared" ref="Z8:Z15" si="1">S8-I8</f>
        <v>1.9999999999999962E-2</v>
      </c>
    </row>
    <row r="9" spans="2:35" x14ac:dyDescent="0.2">
      <c r="B9" s="1" t="s">
        <v>2</v>
      </c>
      <c r="C9" s="9">
        <v>0</v>
      </c>
      <c r="D9" s="9">
        <v>0.6</v>
      </c>
      <c r="E9" s="9">
        <v>0.2</v>
      </c>
      <c r="F9" s="1" t="s">
        <v>2</v>
      </c>
      <c r="G9" s="9">
        <v>0.6</v>
      </c>
      <c r="H9" s="9"/>
      <c r="I9" s="15">
        <v>0.65200000000000002</v>
      </c>
      <c r="J9" s="2">
        <v>0.57999999999999996</v>
      </c>
      <c r="K9" s="2">
        <v>0.62</v>
      </c>
      <c r="L9" s="15">
        <v>0.85599999999999998</v>
      </c>
      <c r="M9" s="9">
        <v>0.56000000000000005</v>
      </c>
      <c r="N9" s="9"/>
      <c r="O9" s="9">
        <v>0.6</v>
      </c>
      <c r="P9" s="9">
        <v>0.86</v>
      </c>
      <c r="Q9" s="9">
        <v>0.24</v>
      </c>
      <c r="R9" s="9">
        <v>0.06</v>
      </c>
      <c r="S9" s="9">
        <v>0.64</v>
      </c>
      <c r="T9" s="10">
        <v>0.69400000000000006</v>
      </c>
      <c r="U9" s="10">
        <v>0.81</v>
      </c>
      <c r="V9" s="10">
        <v>0.89</v>
      </c>
      <c r="W9" s="10">
        <v>0.88319999999999999</v>
      </c>
      <c r="X9" s="11"/>
      <c r="Y9" s="11">
        <f t="shared" si="0"/>
        <v>-5.4000000000000048E-2</v>
      </c>
      <c r="Z9" s="11">
        <f t="shared" si="1"/>
        <v>-1.2000000000000011E-2</v>
      </c>
    </row>
    <row r="10" spans="2:35" x14ac:dyDescent="0.2">
      <c r="B10" s="1" t="s">
        <v>3</v>
      </c>
      <c r="C10" s="9">
        <v>0.5</v>
      </c>
      <c r="D10" s="9">
        <v>0.6</v>
      </c>
      <c r="E10" s="9">
        <v>0.8</v>
      </c>
      <c r="F10" s="1" t="s">
        <v>3</v>
      </c>
      <c r="G10" s="9">
        <v>0.76</v>
      </c>
      <c r="H10" s="9"/>
      <c r="I10" s="15">
        <v>0.73199999999999998</v>
      </c>
      <c r="J10" s="2">
        <v>0.68</v>
      </c>
      <c r="K10" s="2">
        <v>0.84</v>
      </c>
      <c r="L10" s="15">
        <v>0.58799999999999997</v>
      </c>
      <c r="M10" s="9">
        <v>0.74</v>
      </c>
      <c r="N10" s="9"/>
      <c r="O10" s="9">
        <v>0.82</v>
      </c>
      <c r="P10" s="9">
        <v>0.72</v>
      </c>
      <c r="Q10" s="9">
        <v>0.8</v>
      </c>
      <c r="R10" s="9">
        <v>0.64</v>
      </c>
      <c r="S10" s="9">
        <v>0.72</v>
      </c>
      <c r="T10" s="10">
        <v>0.746</v>
      </c>
      <c r="U10" s="10"/>
      <c r="V10" s="10"/>
      <c r="W10" s="10">
        <v>0.72530000000000006</v>
      </c>
      <c r="X10" s="11"/>
      <c r="Y10" s="11">
        <f t="shared" si="0"/>
        <v>-2.6000000000000023E-2</v>
      </c>
      <c r="Z10" s="11">
        <f t="shared" si="1"/>
        <v>-1.2000000000000011E-2</v>
      </c>
    </row>
    <row r="11" spans="2:35" x14ac:dyDescent="0.2">
      <c r="B11" s="1" t="s">
        <v>4</v>
      </c>
      <c r="C11" s="9">
        <v>0.2</v>
      </c>
      <c r="D11" s="9">
        <v>0.2</v>
      </c>
      <c r="E11" s="9">
        <v>0.6</v>
      </c>
      <c r="F11" s="1" t="s">
        <v>4</v>
      </c>
      <c r="G11" s="9">
        <v>0.5</v>
      </c>
      <c r="H11" s="9"/>
      <c r="I11" s="9">
        <v>0.5</v>
      </c>
      <c r="J11" s="2">
        <v>0.48</v>
      </c>
      <c r="K11" s="2">
        <v>0.38</v>
      </c>
      <c r="L11" s="9"/>
      <c r="M11" s="9">
        <v>0.32</v>
      </c>
      <c r="N11" s="9"/>
      <c r="O11" s="9"/>
      <c r="P11" s="9"/>
      <c r="Q11" s="9">
        <v>0.14000000000000001</v>
      </c>
      <c r="R11" s="9">
        <v>0</v>
      </c>
      <c r="S11" s="9">
        <v>0.57999999999999996</v>
      </c>
      <c r="T11" s="10">
        <v>0.49399999999999999</v>
      </c>
      <c r="U11" s="10">
        <v>0.55500000000000005</v>
      </c>
      <c r="V11" s="10">
        <v>0.65900000000000003</v>
      </c>
      <c r="W11" s="10">
        <v>0.68290000000000006</v>
      </c>
      <c r="X11" s="11"/>
      <c r="Y11" s="11">
        <f t="shared" si="0"/>
        <v>8.5999999999999965E-2</v>
      </c>
      <c r="Z11" s="11">
        <f t="shared" si="1"/>
        <v>7.999999999999996E-2</v>
      </c>
    </row>
    <row r="12" spans="2:35" x14ac:dyDescent="0.2">
      <c r="B12" s="1" t="s">
        <v>5</v>
      </c>
      <c r="C12" s="9">
        <v>0.2</v>
      </c>
      <c r="D12" s="9">
        <v>0.2</v>
      </c>
      <c r="E12" s="9">
        <v>0.6</v>
      </c>
      <c r="F12" s="1" t="s">
        <v>5</v>
      </c>
      <c r="G12" s="9">
        <v>0.3</v>
      </c>
      <c r="H12" s="9"/>
      <c r="I12" s="9">
        <v>0.22</v>
      </c>
      <c r="J12" s="2">
        <v>0.22</v>
      </c>
      <c r="K12" s="2">
        <v>0.18</v>
      </c>
      <c r="L12" s="9"/>
      <c r="M12" s="9">
        <v>0.36</v>
      </c>
      <c r="N12" s="9"/>
      <c r="O12" s="9"/>
      <c r="P12" s="9"/>
      <c r="Q12" s="9">
        <v>0.06</v>
      </c>
      <c r="R12" s="9">
        <v>0</v>
      </c>
      <c r="S12" s="9">
        <v>0.38</v>
      </c>
      <c r="T12" s="10">
        <v>0.31900000000000001</v>
      </c>
      <c r="U12" s="10">
        <v>0.39200000000000002</v>
      </c>
      <c r="V12" s="10">
        <v>0.56700000000000006</v>
      </c>
      <c r="W12" s="10">
        <v>0.50119999999999998</v>
      </c>
      <c r="X12" s="11"/>
      <c r="Y12" s="11">
        <f t="shared" si="0"/>
        <v>6.0999999999999999E-2</v>
      </c>
      <c r="Z12" s="11">
        <f t="shared" si="1"/>
        <v>0.16</v>
      </c>
    </row>
    <row r="13" spans="2:35" x14ac:dyDescent="0.2">
      <c r="B13" s="1" t="s">
        <v>6</v>
      </c>
      <c r="C13" s="9">
        <v>0</v>
      </c>
      <c r="D13" s="9">
        <v>0.1</v>
      </c>
      <c r="E13" s="9">
        <v>0.6</v>
      </c>
      <c r="F13" s="1" t="s">
        <v>6</v>
      </c>
      <c r="G13" s="9">
        <v>0.6</v>
      </c>
      <c r="H13" s="9"/>
      <c r="I13" s="9">
        <v>0.46</v>
      </c>
      <c r="J13" s="2">
        <v>0.44</v>
      </c>
      <c r="K13" s="2">
        <v>0.4</v>
      </c>
      <c r="L13" s="9"/>
      <c r="M13" s="9">
        <v>0.54</v>
      </c>
      <c r="N13" s="9"/>
      <c r="O13" s="9"/>
      <c r="P13" s="9"/>
      <c r="Q13" s="9">
        <v>0.3</v>
      </c>
      <c r="R13" s="9">
        <v>0</v>
      </c>
      <c r="S13" s="9">
        <v>0.48</v>
      </c>
      <c r="T13" s="10">
        <v>0.41</v>
      </c>
      <c r="U13" s="10">
        <v>0.58799999999999997</v>
      </c>
      <c r="V13" s="10">
        <v>0.57999999999999996</v>
      </c>
      <c r="W13" s="10">
        <v>0.61</v>
      </c>
      <c r="X13" s="11"/>
      <c r="Y13" s="11">
        <f t="shared" si="0"/>
        <v>7.0000000000000007E-2</v>
      </c>
      <c r="Z13" s="11">
        <f t="shared" si="1"/>
        <v>1.9999999999999962E-2</v>
      </c>
      <c r="AC13" s="7"/>
      <c r="AD13" s="7"/>
      <c r="AE13" s="7"/>
      <c r="AF13" s="7"/>
      <c r="AG13" s="7"/>
      <c r="AH13" s="7"/>
    </row>
    <row r="14" spans="2:35" x14ac:dyDescent="0.2">
      <c r="B14" s="1" t="s">
        <v>7</v>
      </c>
      <c r="C14" s="9">
        <v>0.5</v>
      </c>
      <c r="D14" s="9">
        <v>0.4</v>
      </c>
      <c r="E14" s="9">
        <v>0.4</v>
      </c>
      <c r="F14" s="1" t="s">
        <v>7</v>
      </c>
      <c r="G14" s="9">
        <v>0.64</v>
      </c>
      <c r="H14" s="9">
        <v>0.72</v>
      </c>
      <c r="I14" s="15">
        <v>0.61199999999999999</v>
      </c>
      <c r="J14" s="2">
        <v>0.64</v>
      </c>
      <c r="K14" s="2">
        <v>0.62</v>
      </c>
      <c r="L14" s="15">
        <v>0.56000000000000005</v>
      </c>
      <c r="M14" s="9">
        <v>0.6</v>
      </c>
      <c r="N14" s="9">
        <v>0.66</v>
      </c>
      <c r="O14" s="9">
        <v>0.6</v>
      </c>
      <c r="P14" s="9">
        <v>0.52</v>
      </c>
      <c r="Q14" s="9">
        <v>0.64</v>
      </c>
      <c r="R14" s="9">
        <v>0.5</v>
      </c>
      <c r="S14" s="9">
        <v>0.56000000000000005</v>
      </c>
      <c r="T14" s="10">
        <v>0.65500000000000003</v>
      </c>
      <c r="U14" s="10">
        <v>0.67</v>
      </c>
      <c r="V14" s="10">
        <v>0.71599999999999997</v>
      </c>
      <c r="W14" s="10">
        <v>0.7722</v>
      </c>
      <c r="X14" s="11"/>
      <c r="Y14" s="11">
        <f t="shared" si="0"/>
        <v>-9.4999999999999973E-2</v>
      </c>
      <c r="Z14" s="11">
        <f>S14-I14</f>
        <v>-5.1999999999999935E-2</v>
      </c>
      <c r="AG14" s="6"/>
      <c r="AH14" s="6"/>
      <c r="AI14" s="6"/>
    </row>
    <row r="15" spans="2:35" x14ac:dyDescent="0.2">
      <c r="B15" s="1" t="s">
        <v>8</v>
      </c>
      <c r="C15" s="9">
        <v>0.1</v>
      </c>
      <c r="D15" s="9">
        <v>0.4</v>
      </c>
      <c r="E15" s="9">
        <v>0.5</v>
      </c>
      <c r="F15" s="1" t="s">
        <v>8</v>
      </c>
      <c r="G15" s="9">
        <v>0.44</v>
      </c>
      <c r="H15" s="9">
        <v>0.46</v>
      </c>
      <c r="I15" s="15">
        <v>0.33200000000000002</v>
      </c>
      <c r="J15" s="2">
        <v>0.28000000000000003</v>
      </c>
      <c r="K15" s="2">
        <v>0.36</v>
      </c>
      <c r="L15" s="15">
        <v>0.44800000000000001</v>
      </c>
      <c r="M15" s="9">
        <v>0.28000000000000003</v>
      </c>
      <c r="N15" s="9">
        <v>0.4</v>
      </c>
      <c r="O15" s="9">
        <v>0.36</v>
      </c>
      <c r="P15" s="9">
        <v>0.32</v>
      </c>
      <c r="Q15" s="9">
        <v>0.1</v>
      </c>
      <c r="R15" s="9">
        <v>0.18</v>
      </c>
      <c r="S15" s="9">
        <v>0.42</v>
      </c>
      <c r="T15" s="10">
        <v>0.37</v>
      </c>
      <c r="U15" s="10">
        <v>0.433</v>
      </c>
      <c r="V15" s="10">
        <v>0.52300000000000002</v>
      </c>
      <c r="W15" s="10"/>
      <c r="X15" s="11"/>
      <c r="Y15" s="11">
        <f>S15-T15</f>
        <v>4.9999999999999989E-2</v>
      </c>
      <c r="Z15" s="11">
        <f t="shared" si="1"/>
        <v>8.7999999999999967E-2</v>
      </c>
      <c r="AG15" s="6"/>
      <c r="AH15" s="6"/>
      <c r="AI15" s="6"/>
    </row>
    <row r="16" spans="2:35" x14ac:dyDescent="0.2">
      <c r="C16" s="11"/>
      <c r="D16" s="11"/>
      <c r="E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AB16" s="6"/>
      <c r="AC16" s="6"/>
      <c r="AD16" s="6"/>
    </row>
    <row r="17" spans="1:26" x14ac:dyDescent="0.2">
      <c r="B17" s="7" t="s">
        <v>13</v>
      </c>
      <c r="C17" s="11">
        <f>AVERAGE(C7:C15)</f>
        <v>0.23333333333333334</v>
      </c>
      <c r="D17" s="11">
        <f t="shared" ref="D17" si="2">AVERAGE(D7:D15)</f>
        <v>0.40000000000000008</v>
      </c>
      <c r="E17" s="11">
        <f>AVERAGE(E7:E15)</f>
        <v>0.52222222222222225</v>
      </c>
      <c r="F17" s="7" t="s">
        <v>13</v>
      </c>
      <c r="G17" s="11">
        <f>AVERAGE(G7:G15)</f>
        <v>0.56444444444444442</v>
      </c>
      <c r="H17" s="11"/>
      <c r="I17" s="11">
        <f t="shared" ref="I17:M17" si="3">AVERAGE(I7:I15)</f>
        <v>0.51288888888888884</v>
      </c>
      <c r="J17" s="11">
        <f t="shared" si="3"/>
        <v>0.4933333333333334</v>
      </c>
      <c r="K17" s="11">
        <f t="shared" si="3"/>
        <v>0.48888888888888893</v>
      </c>
      <c r="L17" s="11"/>
      <c r="M17" s="11">
        <f t="shared" si="3"/>
        <v>0.51333333333333331</v>
      </c>
      <c r="N17" s="11"/>
      <c r="O17" s="11">
        <f>AVERAGE(O9:O15,O7)</f>
        <v>0.6399999999999999</v>
      </c>
      <c r="P17" s="11">
        <f>AVERAGE(P9:P15,P7)</f>
        <v>0.63200000000000001</v>
      </c>
      <c r="Q17" s="11">
        <f>AVERAGE(Q9:Q15,Q7)</f>
        <v>0.37250000000000005</v>
      </c>
      <c r="R17" s="11">
        <f>AVERAGE(R7:R15)</f>
        <v>0.25555555555555559</v>
      </c>
      <c r="S17" s="11">
        <f>AVERAGE(S7:S15)</f>
        <v>0.55111111111111111</v>
      </c>
      <c r="T17" s="11">
        <f>AVERAGE(T7:T15)</f>
        <v>0.54511111111111121</v>
      </c>
      <c r="U17" s="11">
        <f t="shared" ref="U17:W17" si="4">AVERAGE(U7,U8,U10:U15)</f>
        <v>0.49466666666666664</v>
      </c>
      <c r="V17" s="11">
        <f t="shared" si="4"/>
        <v>0.6090000000000001</v>
      </c>
      <c r="W17" s="11">
        <f t="shared" si="4"/>
        <v>0.65169999999999995</v>
      </c>
      <c r="X17" s="11"/>
      <c r="Y17" s="11">
        <f>AVERAGE(Y7:Y15)</f>
        <v>5.9999999999999932E-3</v>
      </c>
      <c r="Z17" s="11">
        <f>AVERAGE(Z7:Z15)</f>
        <v>3.8222222222222213E-2</v>
      </c>
    </row>
    <row r="18" spans="1:26" x14ac:dyDescent="0.2">
      <c r="A18" s="25" t="s">
        <v>52</v>
      </c>
      <c r="B18" s="7" t="s">
        <v>17</v>
      </c>
      <c r="C18" s="4">
        <v>9.8414999999999999</v>
      </c>
      <c r="D18" s="4">
        <v>38.114600000000003</v>
      </c>
      <c r="E18" s="4">
        <v>6.1927000000000003</v>
      </c>
      <c r="F18" s="12"/>
      <c r="G18" s="5">
        <v>21.795000000000002</v>
      </c>
      <c r="H18" s="5"/>
      <c r="I18" s="5">
        <v>30.048999999999999</v>
      </c>
      <c r="J18" s="5"/>
      <c r="K18" s="5">
        <v>22.303000000000001</v>
      </c>
      <c r="L18" s="5"/>
      <c r="M18" s="5">
        <v>26.338999999999999</v>
      </c>
      <c r="N18" s="5"/>
      <c r="O18" s="5">
        <v>23.172999999999998</v>
      </c>
      <c r="P18" s="5"/>
      <c r="Q18" s="5">
        <v>9.5310000000000006</v>
      </c>
      <c r="R18" s="5">
        <v>7.7389999999999999</v>
      </c>
      <c r="S18" s="5">
        <v>5.8380000000000001</v>
      </c>
      <c r="T18" s="11"/>
      <c r="U18" s="11"/>
      <c r="V18" s="11"/>
      <c r="W18" s="11"/>
      <c r="X18" s="11"/>
    </row>
    <row r="19" spans="1:26" x14ac:dyDescent="0.2">
      <c r="A19" s="25"/>
      <c r="B19" s="7" t="s">
        <v>15</v>
      </c>
      <c r="C19" s="5">
        <v>9.1379999999999999</v>
      </c>
      <c r="D19" s="5">
        <v>22.989000000000001</v>
      </c>
      <c r="E19" s="5">
        <v>4.4400000000000004</v>
      </c>
      <c r="F19" s="12"/>
      <c r="G19" s="8">
        <v>8.0169999999999995</v>
      </c>
      <c r="H19" s="8">
        <v>3.0110000000000001</v>
      </c>
      <c r="I19" s="8">
        <v>10.503</v>
      </c>
      <c r="J19" s="5"/>
      <c r="K19" s="8">
        <v>8.7089999999999996</v>
      </c>
      <c r="L19" s="8">
        <v>2.4889999999999999</v>
      </c>
      <c r="M19" s="8">
        <v>10.272</v>
      </c>
      <c r="N19" s="8">
        <v>2.23</v>
      </c>
      <c r="O19" s="8">
        <v>9.4239999999999995</v>
      </c>
      <c r="P19" s="8">
        <v>2.3050000000000002</v>
      </c>
      <c r="Q19" s="5">
        <v>9.3506999999999998</v>
      </c>
      <c r="R19" s="5">
        <v>6.0548999999999999</v>
      </c>
      <c r="S19" s="8">
        <v>4.0650000000000004</v>
      </c>
      <c r="T19" s="11"/>
      <c r="U19" s="11"/>
      <c r="V19" s="11"/>
      <c r="W19" s="11"/>
      <c r="X19" s="11"/>
    </row>
    <row r="20" spans="1:26" x14ac:dyDescent="0.2">
      <c r="A20" s="25"/>
      <c r="B20" s="7" t="s">
        <v>16</v>
      </c>
      <c r="C20" s="5"/>
      <c r="D20" s="5">
        <v>3.3919999999999999</v>
      </c>
      <c r="E20" s="5"/>
      <c r="F20" s="12"/>
      <c r="G20" s="16">
        <v>3.3170000000000002</v>
      </c>
      <c r="H20" s="16"/>
      <c r="I20" s="16">
        <v>3.7530000000000001</v>
      </c>
      <c r="J20" s="4">
        <v>3.72</v>
      </c>
      <c r="K20" s="4">
        <v>3.6469999999999998</v>
      </c>
      <c r="L20" s="16"/>
      <c r="M20" s="16">
        <v>4.2169999999999996</v>
      </c>
      <c r="N20" s="16"/>
      <c r="O20" s="16"/>
      <c r="P20" s="16"/>
      <c r="Q20" s="16">
        <v>7.7111000000000001</v>
      </c>
      <c r="R20" s="16">
        <v>5.2942999999999998</v>
      </c>
      <c r="S20" s="16">
        <v>2.7629999999999999</v>
      </c>
      <c r="T20" s="13"/>
      <c r="U20" s="13"/>
      <c r="V20" s="13"/>
      <c r="W20" s="13"/>
      <c r="X20" s="11"/>
    </row>
    <row r="21" spans="1:26" x14ac:dyDescent="0.2">
      <c r="C21" s="5"/>
      <c r="D21" s="5"/>
      <c r="E21" s="5"/>
      <c r="G21" s="5"/>
      <c r="H21" s="5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"/>
    </row>
    <row r="22" spans="1:26" x14ac:dyDescent="0.2">
      <c r="B22" s="7" t="s">
        <v>53</v>
      </c>
      <c r="C22" s="5"/>
      <c r="D22" s="5"/>
      <c r="E22" s="5"/>
      <c r="G22" s="6"/>
      <c r="H22" s="6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"/>
    </row>
    <row r="23" spans="1:26" x14ac:dyDescent="0.2">
      <c r="B23" s="7" t="s">
        <v>17</v>
      </c>
      <c r="C23" s="5"/>
      <c r="D23" s="5"/>
      <c r="E23" s="5"/>
      <c r="F23" s="1"/>
      <c r="G23" s="6"/>
      <c r="H23" s="6"/>
      <c r="I23" s="6"/>
      <c r="J23" s="6"/>
      <c r="K23" s="6"/>
      <c r="L23" s="6"/>
      <c r="M23" s="6"/>
      <c r="N23" s="6"/>
      <c r="O23" s="18"/>
      <c r="P23" s="18"/>
      <c r="Q23" s="18"/>
      <c r="R23" s="6"/>
      <c r="S23" s="6"/>
      <c r="T23" s="1"/>
    </row>
    <row r="24" spans="1:26" x14ac:dyDescent="0.2">
      <c r="B24" s="7" t="s">
        <v>15</v>
      </c>
      <c r="C24" s="5"/>
      <c r="D24" s="5"/>
      <c r="E24" s="5"/>
      <c r="F24" s="1"/>
      <c r="G24" s="2">
        <v>0.54390000000000005</v>
      </c>
      <c r="H24" s="2">
        <v>0.33110000000000001</v>
      </c>
      <c r="I24" s="2">
        <v>0.47339999999999999</v>
      </c>
      <c r="J24" s="20"/>
      <c r="K24" s="2">
        <v>0.56179999999999997</v>
      </c>
      <c r="L24" s="2">
        <v>0.39040000000000002</v>
      </c>
      <c r="M24" s="2">
        <v>0.53249999999999997</v>
      </c>
      <c r="N24" s="2">
        <v>0.30470000000000003</v>
      </c>
      <c r="O24" s="2">
        <v>0.50919999999999999</v>
      </c>
      <c r="P24" s="2">
        <v>0.3538</v>
      </c>
      <c r="Q24" s="2"/>
      <c r="R24" s="21"/>
      <c r="S24" s="2">
        <v>0.48099999999999998</v>
      </c>
      <c r="T24" s="2"/>
    </row>
    <row r="25" spans="1:26" x14ac:dyDescent="0.2">
      <c r="B25" s="7" t="s">
        <v>16</v>
      </c>
      <c r="C25" s="5"/>
      <c r="D25" s="5"/>
      <c r="E25" s="5"/>
      <c r="F25" s="1"/>
      <c r="G25" s="19"/>
      <c r="H25" s="19"/>
      <c r="I25" s="20"/>
      <c r="J25" s="20"/>
      <c r="K25" s="20"/>
      <c r="L25" s="20"/>
      <c r="M25" s="20"/>
      <c r="N25" s="20"/>
      <c r="O25" s="2"/>
      <c r="P25" s="2"/>
      <c r="Q25" s="2"/>
      <c r="R25" s="20"/>
      <c r="S25" s="20"/>
      <c r="T25" s="2"/>
    </row>
    <row r="26" spans="1:26" x14ac:dyDescent="0.2">
      <c r="F26" s="1"/>
      <c r="I26" s="2"/>
      <c r="J26" s="2"/>
      <c r="K26" s="2"/>
      <c r="L26" s="2"/>
      <c r="M26" s="2"/>
      <c r="N26" s="2"/>
      <c r="O26" s="2"/>
      <c r="P26" s="2"/>
      <c r="Q26" s="2"/>
      <c r="R26" s="1"/>
      <c r="S26" s="2"/>
      <c r="T26" s="2"/>
    </row>
    <row r="27" spans="1:26" x14ac:dyDescent="0.2">
      <c r="F27" s="1"/>
      <c r="I27" s="2"/>
      <c r="J27" s="2"/>
      <c r="K27" s="2"/>
      <c r="L27" s="2"/>
      <c r="M27" s="2"/>
      <c r="N27" s="2"/>
      <c r="O27" s="2"/>
      <c r="P27" s="2"/>
      <c r="Q27" s="2"/>
      <c r="R27" s="1"/>
      <c r="S27" s="2"/>
      <c r="T27" s="2"/>
    </row>
    <row r="28" spans="1:26" x14ac:dyDescent="0.2">
      <c r="F28" s="1"/>
      <c r="I28" s="2"/>
      <c r="J28" s="2"/>
      <c r="K28" s="2"/>
      <c r="L28" s="2"/>
      <c r="M28" s="2"/>
      <c r="N28" s="2"/>
      <c r="O28" s="2"/>
      <c r="P28" s="2"/>
      <c r="Q28" s="2"/>
      <c r="R28" s="1"/>
      <c r="S28" s="2"/>
      <c r="T28" s="2"/>
    </row>
    <row r="29" spans="1:26" x14ac:dyDescent="0.2">
      <c r="F29" s="1"/>
      <c r="I29" s="2"/>
      <c r="J29" s="2"/>
      <c r="K29" s="8"/>
      <c r="L29" s="2"/>
      <c r="M29" s="2"/>
      <c r="N29" s="2"/>
      <c r="O29" s="2"/>
      <c r="P29" s="2"/>
      <c r="Q29" s="2"/>
      <c r="R29" s="1"/>
      <c r="S29" s="2"/>
      <c r="T29" s="2"/>
    </row>
    <row r="30" spans="1:26" x14ac:dyDescent="0.2">
      <c r="I30" s="2"/>
      <c r="J30" s="1"/>
      <c r="K30" s="1"/>
      <c r="L30" s="1"/>
      <c r="M30" s="1"/>
      <c r="N30" s="1"/>
      <c r="O30" s="2"/>
      <c r="P30" s="2"/>
      <c r="Q30" s="2"/>
      <c r="R30" s="1"/>
      <c r="S30" s="2"/>
      <c r="T30" s="2"/>
    </row>
    <row r="31" spans="1:26" x14ac:dyDescent="0.2">
      <c r="I31" s="2"/>
      <c r="J31" s="2"/>
      <c r="K31" s="8"/>
      <c r="L31" s="2"/>
      <c r="M31" s="2"/>
      <c r="N31" s="2"/>
      <c r="O31" s="2"/>
      <c r="P31" s="2"/>
      <c r="Q31" s="2"/>
      <c r="R31" s="1"/>
      <c r="S31" s="2"/>
      <c r="T31" s="2"/>
    </row>
    <row r="32" spans="1:26" x14ac:dyDescent="0.2">
      <c r="I32" s="1"/>
      <c r="J32" s="1"/>
      <c r="K32" s="8"/>
      <c r="L32" s="2"/>
      <c r="M32" s="1"/>
      <c r="O32" s="2"/>
      <c r="P32" s="2"/>
      <c r="Q32" s="2"/>
      <c r="R32" s="1"/>
      <c r="S32" s="2"/>
      <c r="T32" s="2"/>
    </row>
    <row r="33" spans="6:31" x14ac:dyDescent="0.2">
      <c r="I33" s="1"/>
      <c r="J33" s="1"/>
      <c r="K33" s="8"/>
      <c r="L33" s="2"/>
      <c r="M33" s="1"/>
    </row>
    <row r="34" spans="6:31" x14ac:dyDescent="0.2">
      <c r="I34" s="1"/>
      <c r="J34" s="1"/>
      <c r="K34" s="8"/>
      <c r="L34" s="2"/>
      <c r="M34" s="9"/>
      <c r="O34" s="1"/>
      <c r="P34" s="2"/>
      <c r="Q34" s="2"/>
      <c r="R34" s="1"/>
      <c r="T34" s="1"/>
      <c r="U34" s="2"/>
      <c r="V34" s="2"/>
    </row>
    <row r="35" spans="6:31" x14ac:dyDescent="0.2">
      <c r="I35" s="1"/>
      <c r="J35" s="1"/>
      <c r="K35" s="8"/>
      <c r="L35" s="2"/>
      <c r="M35" s="9"/>
      <c r="O35" s="1"/>
      <c r="P35" s="2"/>
      <c r="Q35" s="2"/>
      <c r="R35" s="1"/>
      <c r="T35" s="1"/>
      <c r="U35" s="2"/>
      <c r="V35" s="2"/>
    </row>
    <row r="36" spans="6:31" x14ac:dyDescent="0.2">
      <c r="I36" s="1"/>
      <c r="J36" s="1"/>
      <c r="K36" s="8"/>
      <c r="L36" s="2"/>
      <c r="M36" s="9"/>
      <c r="O36" s="1"/>
      <c r="P36" s="2"/>
      <c r="Q36" s="2"/>
      <c r="R36" s="1"/>
      <c r="T36" s="1"/>
      <c r="U36" s="2"/>
      <c r="V36" s="2"/>
    </row>
    <row r="37" spans="6:31" x14ac:dyDescent="0.2">
      <c r="I37" s="1"/>
      <c r="J37" s="1"/>
      <c r="K37" s="8"/>
      <c r="L37" s="2"/>
      <c r="M37" s="9"/>
      <c r="O37" s="1"/>
      <c r="P37" s="2"/>
      <c r="Q37" s="2"/>
      <c r="R37" s="1"/>
      <c r="T37" s="1"/>
      <c r="U37" s="2"/>
      <c r="V37" s="2"/>
    </row>
    <row r="38" spans="6:31" x14ac:dyDescent="0.2">
      <c r="I38" s="1"/>
      <c r="J38" s="1"/>
      <c r="K38" s="8"/>
      <c r="L38" s="2"/>
      <c r="M38" s="9"/>
      <c r="O38" s="1"/>
      <c r="P38" s="2"/>
      <c r="Q38" s="2"/>
      <c r="R38" s="1"/>
      <c r="T38" s="1"/>
      <c r="U38" s="2"/>
      <c r="V38" s="2"/>
    </row>
    <row r="39" spans="6:31" x14ac:dyDescent="0.2">
      <c r="I39" s="1"/>
      <c r="J39" s="1"/>
      <c r="K39" s="8"/>
      <c r="L39" s="2"/>
      <c r="M39" s="9"/>
      <c r="O39" s="1"/>
      <c r="P39" s="2"/>
      <c r="Q39" s="2"/>
      <c r="R39" s="1"/>
      <c r="T39" s="1"/>
      <c r="U39" s="2"/>
      <c r="V39" s="2"/>
    </row>
    <row r="40" spans="6:31" x14ac:dyDescent="0.2">
      <c r="F40" s="1"/>
      <c r="G40" s="1"/>
      <c r="H40" s="1"/>
      <c r="I40" s="1"/>
      <c r="J40" s="1"/>
      <c r="K40" s="1"/>
      <c r="L40" s="9"/>
      <c r="M40" s="9"/>
      <c r="O40" s="1"/>
      <c r="P40" s="2"/>
      <c r="Q40" s="2"/>
      <c r="R40" s="1"/>
      <c r="T40" s="1"/>
      <c r="U40" s="2"/>
      <c r="V40" s="2"/>
    </row>
    <row r="41" spans="6:31" x14ac:dyDescent="0.2">
      <c r="F41" s="1"/>
      <c r="G41" s="1"/>
      <c r="H41" s="1"/>
      <c r="I41" s="1"/>
      <c r="J41" s="1"/>
      <c r="K41" s="1"/>
      <c r="L41" s="9"/>
      <c r="M41" s="9"/>
      <c r="O41" s="1"/>
      <c r="P41" s="2"/>
      <c r="Q41" s="2"/>
      <c r="R41" s="1"/>
      <c r="T41" s="1"/>
      <c r="U41" s="2"/>
      <c r="V41" s="2"/>
      <c r="X41" s="1"/>
      <c r="Y41" s="1"/>
      <c r="Z41" s="1"/>
      <c r="AA41" s="1"/>
      <c r="AB41" s="1"/>
      <c r="AC41" s="1"/>
      <c r="AD41" s="1"/>
      <c r="AE41" s="1"/>
    </row>
    <row r="42" spans="6:31" x14ac:dyDescent="0.2">
      <c r="F42" s="1"/>
      <c r="G42" s="1"/>
      <c r="H42" s="1"/>
      <c r="I42" s="1"/>
      <c r="J42" s="1"/>
      <c r="K42" s="1"/>
      <c r="L42" s="9"/>
      <c r="M42" s="9"/>
      <c r="O42" s="1"/>
      <c r="P42" s="2"/>
      <c r="Q42" s="2"/>
      <c r="R42" s="1"/>
      <c r="S42" s="1"/>
      <c r="T42" s="8"/>
      <c r="U42" s="8"/>
      <c r="V42" s="8"/>
      <c r="W42" s="8"/>
      <c r="X42" s="8"/>
      <c r="Y42" s="8"/>
      <c r="Z42" s="8"/>
      <c r="AA42" s="8"/>
      <c r="AB42" s="8"/>
      <c r="AC42" s="2"/>
      <c r="AD42" s="2"/>
      <c r="AE42" s="2"/>
    </row>
    <row r="43" spans="6:31" x14ac:dyDescent="0.2">
      <c r="F43" s="1"/>
      <c r="G43" s="2"/>
      <c r="H43" s="2"/>
      <c r="I43" s="2"/>
      <c r="J43" s="2"/>
      <c r="K43" s="2"/>
      <c r="L43" s="2"/>
      <c r="R43" s="2"/>
      <c r="S43" s="1"/>
      <c r="T43" s="8"/>
      <c r="U43" s="8"/>
      <c r="V43" s="8"/>
      <c r="W43" s="8"/>
      <c r="X43" s="8"/>
      <c r="Y43" s="8"/>
      <c r="Z43" s="8"/>
      <c r="AA43" s="8"/>
      <c r="AB43" s="8"/>
      <c r="AC43" s="2"/>
      <c r="AD43" s="2"/>
      <c r="AE43" s="2"/>
    </row>
    <row r="44" spans="6:31" x14ac:dyDescent="0.2">
      <c r="F44" s="1"/>
      <c r="G44" s="2"/>
      <c r="H44" s="2"/>
      <c r="I44" s="2"/>
      <c r="J44" s="2"/>
      <c r="K44" s="2"/>
      <c r="L44" s="2"/>
      <c r="M44" s="11"/>
      <c r="P44" s="11"/>
      <c r="Q44" s="11"/>
      <c r="R44" s="2"/>
      <c r="S44" s="1"/>
      <c r="T44" s="8"/>
      <c r="U44" s="8"/>
      <c r="V44" s="8"/>
      <c r="W44" s="8"/>
      <c r="X44" s="8"/>
      <c r="Y44" s="8"/>
      <c r="Z44" s="8"/>
      <c r="AA44" s="8"/>
      <c r="AB44" s="8"/>
      <c r="AC44" s="2"/>
      <c r="AD44" s="2"/>
      <c r="AE44" s="2"/>
    </row>
    <row r="45" spans="6:31" x14ac:dyDescent="0.2">
      <c r="F45" s="1"/>
      <c r="G45" s="2"/>
      <c r="H45" s="2"/>
      <c r="I45" s="2"/>
      <c r="J45" s="2"/>
      <c r="K45" s="2"/>
      <c r="L45" s="2"/>
      <c r="R45" s="2"/>
      <c r="S45" s="1"/>
      <c r="T45" s="8"/>
      <c r="U45" s="8"/>
      <c r="V45" s="8"/>
      <c r="W45" s="8"/>
      <c r="X45" s="8"/>
      <c r="Y45" s="8"/>
      <c r="Z45" s="8"/>
      <c r="AA45" s="8"/>
      <c r="AB45" s="8"/>
      <c r="AC45" s="2"/>
      <c r="AD45" s="2"/>
      <c r="AE45" s="2"/>
    </row>
    <row r="46" spans="6:31" x14ac:dyDescent="0.2">
      <c r="F46" s="1"/>
      <c r="G46" s="2"/>
      <c r="H46" s="2"/>
      <c r="I46" s="2"/>
      <c r="J46" s="2"/>
      <c r="K46" s="2"/>
      <c r="L46" s="2"/>
      <c r="R46" s="2"/>
      <c r="S46" s="1"/>
      <c r="T46" s="8"/>
      <c r="U46" s="8"/>
      <c r="V46" s="8"/>
      <c r="W46" s="8"/>
      <c r="X46" s="8"/>
      <c r="Y46" s="8"/>
      <c r="Z46" s="8"/>
      <c r="AA46" s="8"/>
      <c r="AB46" s="8"/>
      <c r="AC46" s="2"/>
      <c r="AD46" s="2"/>
      <c r="AE46" s="2"/>
    </row>
    <row r="47" spans="6:31" x14ac:dyDescent="0.2">
      <c r="F47" s="1"/>
      <c r="G47" s="2"/>
      <c r="H47" s="2"/>
      <c r="I47" s="2"/>
      <c r="J47" s="2"/>
      <c r="K47" s="2"/>
      <c r="L47" s="2"/>
      <c r="R47" s="2"/>
      <c r="S47" s="1"/>
      <c r="T47" s="8"/>
      <c r="U47" s="8"/>
      <c r="V47" s="8"/>
      <c r="W47" s="8"/>
      <c r="X47" s="8"/>
      <c r="Y47" s="8"/>
      <c r="Z47" s="8"/>
      <c r="AA47" s="8"/>
      <c r="AB47" s="8"/>
      <c r="AC47" s="2"/>
      <c r="AD47" s="2"/>
      <c r="AE47" s="2"/>
    </row>
    <row r="48" spans="6:31" x14ac:dyDescent="0.2">
      <c r="F48" s="1"/>
      <c r="G48" s="2"/>
      <c r="H48" s="2"/>
      <c r="I48" s="2"/>
      <c r="J48" s="2"/>
      <c r="K48" s="2"/>
      <c r="L48" s="2"/>
      <c r="R48" s="2"/>
      <c r="S48" s="1"/>
      <c r="T48" s="8"/>
      <c r="U48" s="8"/>
      <c r="V48" s="8"/>
      <c r="W48" s="8"/>
      <c r="X48" s="8"/>
      <c r="Y48" s="8"/>
      <c r="Z48" s="8"/>
      <c r="AA48" s="8"/>
      <c r="AB48" s="8"/>
      <c r="AC48" s="2"/>
      <c r="AD48" s="2"/>
      <c r="AE48" s="2"/>
    </row>
    <row r="49" spans="1:31" x14ac:dyDescent="0.2">
      <c r="F49" s="1"/>
      <c r="G49" s="2"/>
      <c r="H49" s="2"/>
      <c r="I49" s="2"/>
      <c r="J49" s="2"/>
      <c r="K49" s="2"/>
      <c r="L49" s="2"/>
      <c r="R49" s="2"/>
      <c r="S49" s="1"/>
      <c r="T49" s="8"/>
      <c r="U49" s="8"/>
      <c r="V49" s="8"/>
      <c r="W49" s="8"/>
      <c r="X49" s="8"/>
      <c r="Y49" s="8"/>
      <c r="Z49" s="8"/>
      <c r="AA49" s="8"/>
      <c r="AB49" s="8"/>
      <c r="AC49" s="2"/>
      <c r="AD49" s="2"/>
      <c r="AE49" s="2"/>
    </row>
    <row r="50" spans="1:31" x14ac:dyDescent="0.2">
      <c r="R50" s="2"/>
      <c r="S50" s="1"/>
      <c r="T50" s="8"/>
      <c r="U50" s="8"/>
      <c r="V50" s="8"/>
      <c r="W50" s="8"/>
      <c r="X50" s="8"/>
      <c r="Y50" s="8"/>
      <c r="Z50" s="8"/>
      <c r="AA50" s="8"/>
      <c r="AB50" s="8"/>
      <c r="AC50" s="2"/>
      <c r="AD50" s="2"/>
      <c r="AE50" s="2"/>
    </row>
    <row r="51" spans="1:31" x14ac:dyDescent="0.2">
      <c r="R51" s="2"/>
      <c r="S51" s="1"/>
      <c r="T51" s="8"/>
      <c r="U51" s="8"/>
      <c r="V51" s="8"/>
      <c r="W51" s="8"/>
      <c r="X51" s="8"/>
      <c r="Y51" s="8"/>
      <c r="Z51" s="8"/>
      <c r="AA51" s="8"/>
      <c r="AB51" s="8"/>
      <c r="AC51" s="2"/>
      <c r="AD51" s="2"/>
      <c r="AE51" s="2"/>
    </row>
    <row r="52" spans="1:31" x14ac:dyDescent="0.2">
      <c r="S52" s="1"/>
      <c r="T52" s="8"/>
      <c r="U52" s="8"/>
      <c r="V52" s="8"/>
      <c r="W52" s="8"/>
      <c r="X52" s="8"/>
      <c r="Y52" s="8"/>
      <c r="Z52" s="8"/>
      <c r="AA52" s="8"/>
      <c r="AB52" s="8"/>
      <c r="AC52" s="2"/>
      <c r="AD52" s="2"/>
      <c r="AE52" s="2"/>
    </row>
    <row r="53" spans="1:31" x14ac:dyDescent="0.2">
      <c r="S53" s="1"/>
      <c r="T53" s="8"/>
      <c r="U53" s="8"/>
      <c r="V53" s="8"/>
      <c r="W53" s="8"/>
      <c r="X53" s="8"/>
      <c r="Y53" s="8"/>
      <c r="Z53" s="8"/>
      <c r="AA53" s="8"/>
      <c r="AB53" s="8"/>
      <c r="AC53" s="2"/>
      <c r="AD53" s="2"/>
      <c r="AE53" s="2"/>
    </row>
    <row r="54" spans="1:31" x14ac:dyDescent="0.2">
      <c r="S54" s="1"/>
      <c r="T54" s="8"/>
      <c r="U54" s="8"/>
      <c r="V54" s="8"/>
      <c r="W54" s="8"/>
      <c r="X54" s="8"/>
      <c r="Y54" s="8"/>
      <c r="Z54" s="8"/>
      <c r="AA54" s="8"/>
      <c r="AB54" s="8"/>
      <c r="AC54" s="2"/>
      <c r="AD54" s="2"/>
      <c r="AE54" s="2"/>
    </row>
    <row r="55" spans="1:31" x14ac:dyDescent="0.2">
      <c r="S55" s="1"/>
      <c r="T55" s="8"/>
      <c r="U55" s="8"/>
      <c r="V55" s="8"/>
      <c r="W55" s="8"/>
      <c r="X55" s="8"/>
      <c r="Y55" s="8"/>
      <c r="Z55" s="8"/>
      <c r="AA55" s="8"/>
      <c r="AB55" s="8"/>
      <c r="AC55" s="2"/>
      <c r="AD55" s="2"/>
      <c r="AE55" s="2"/>
    </row>
    <row r="64" spans="1:31" x14ac:dyDescent="0.2">
      <c r="A64" s="25"/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1:24" x14ac:dyDescent="0.2">
      <c r="A65" s="25"/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1:24" x14ac:dyDescent="0.2">
      <c r="A66" s="25"/>
      <c r="B66" s="7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24" x14ac:dyDescent="0.2">
      <c r="A67" s="22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</row>
    <row r="68" spans="1:24" x14ac:dyDescent="0.2">
      <c r="A68" s="25"/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1:24" x14ac:dyDescent="0.2">
      <c r="A69" s="25"/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1:24" x14ac:dyDescent="0.2">
      <c r="A70" s="25"/>
      <c r="B70" s="7"/>
    </row>
    <row r="71" spans="1:24" x14ac:dyDescent="0.2">
      <c r="A71" s="22"/>
      <c r="B71" s="7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</row>
    <row r="72" spans="1:24" x14ac:dyDescent="0.2">
      <c r="A72" s="25"/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8"/>
      <c r="O72" s="8"/>
      <c r="P72" s="8"/>
      <c r="Q72" s="8"/>
      <c r="R72" s="8"/>
      <c r="S72" s="8"/>
      <c r="T72" s="8"/>
      <c r="U72" s="8"/>
      <c r="V72" s="2"/>
      <c r="W72" s="2"/>
      <c r="X72" s="2"/>
    </row>
    <row r="73" spans="1:24" x14ac:dyDescent="0.2">
      <c r="A73" s="25"/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8"/>
      <c r="O73" s="8"/>
      <c r="P73" s="8"/>
      <c r="Q73" s="8"/>
      <c r="R73" s="8"/>
      <c r="S73" s="8"/>
      <c r="T73" s="8"/>
      <c r="U73" s="8"/>
      <c r="V73" s="2"/>
      <c r="W73" s="2"/>
      <c r="X73" s="2"/>
    </row>
    <row r="74" spans="1:24" x14ac:dyDescent="0.2">
      <c r="A74" s="25"/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8"/>
      <c r="O74" s="8"/>
      <c r="P74" s="8"/>
      <c r="Q74" s="8"/>
      <c r="R74" s="8"/>
      <c r="S74" s="8"/>
      <c r="T74" s="8"/>
      <c r="U74" s="8"/>
      <c r="V74" s="2"/>
      <c r="W74" s="2"/>
      <c r="X74" s="2"/>
    </row>
    <row r="75" spans="1:24" x14ac:dyDescent="0.2">
      <c r="A75" s="22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</row>
    <row r="76" spans="1:24" x14ac:dyDescent="0.2">
      <c r="A76" s="25"/>
      <c r="B76" s="7"/>
      <c r="M76" s="1"/>
      <c r="N76" s="8"/>
      <c r="O76" s="8"/>
      <c r="P76" s="8"/>
      <c r="Q76" s="8"/>
      <c r="R76" s="8"/>
      <c r="S76" s="8"/>
      <c r="T76" s="8"/>
      <c r="U76" s="8"/>
      <c r="V76" s="2"/>
      <c r="W76" s="2"/>
      <c r="X76" s="2"/>
    </row>
    <row r="77" spans="1:24" x14ac:dyDescent="0.2">
      <c r="A77" s="25"/>
      <c r="B77" s="7"/>
      <c r="G77" s="8"/>
      <c r="I77" s="8"/>
      <c r="M77" s="1"/>
      <c r="N77" s="8"/>
      <c r="O77" s="8"/>
      <c r="P77" s="8"/>
      <c r="Q77" s="8"/>
      <c r="R77" s="8"/>
      <c r="S77" s="8"/>
      <c r="T77" s="8"/>
      <c r="U77" s="8"/>
      <c r="V77" s="2"/>
      <c r="W77" s="2"/>
      <c r="X77" s="2"/>
    </row>
    <row r="78" spans="1:24" x14ac:dyDescent="0.2">
      <c r="A78" s="25"/>
      <c r="B78" s="7"/>
      <c r="M78" s="1"/>
      <c r="N78" s="8"/>
      <c r="O78" s="8"/>
      <c r="P78" s="8"/>
      <c r="Q78" s="8"/>
      <c r="R78" s="8"/>
      <c r="S78" s="8"/>
      <c r="T78" s="8"/>
      <c r="U78" s="8"/>
      <c r="V78" s="2"/>
      <c r="W78" s="2"/>
      <c r="X78" s="2"/>
    </row>
    <row r="79" spans="1:24" x14ac:dyDescent="0.2">
      <c r="A79" s="22"/>
      <c r="B79" s="7"/>
      <c r="M79" s="1"/>
      <c r="N79" s="8"/>
      <c r="O79" s="8"/>
      <c r="P79" s="8"/>
      <c r="Q79" s="8"/>
      <c r="R79" s="8"/>
      <c r="S79" s="8"/>
      <c r="T79" s="8"/>
      <c r="U79" s="8"/>
      <c r="V79" s="2"/>
      <c r="W79" s="2"/>
      <c r="X79" s="2"/>
    </row>
    <row r="80" spans="1:24" x14ac:dyDescent="0.2">
      <c r="C80" s="23"/>
      <c r="E80" s="23"/>
      <c r="G80" s="23"/>
      <c r="I80" s="23"/>
      <c r="K80" s="23"/>
      <c r="M80" s="23"/>
      <c r="O80" s="23"/>
      <c r="Q80" s="23"/>
    </row>
    <row r="81" spans="1:24" x14ac:dyDescent="0.2">
      <c r="A81" s="25"/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spans="1:24" x14ac:dyDescent="0.2">
      <c r="A82" s="25"/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spans="1:24" x14ac:dyDescent="0.2">
      <c r="A83" s="25"/>
      <c r="B83" s="7"/>
      <c r="C83" s="4"/>
      <c r="D83" s="4"/>
      <c r="E83" s="4"/>
      <c r="F83" s="4"/>
      <c r="G83" s="4"/>
      <c r="H83" s="4"/>
      <c r="I83" s="4"/>
      <c r="J83" s="4"/>
      <c r="K83" s="4"/>
      <c r="L83" s="4"/>
      <c r="M83" s="8"/>
    </row>
    <row r="84" spans="1:24" x14ac:dyDescent="0.2"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24" x14ac:dyDescent="0.2">
      <c r="A85" s="25"/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24" x14ac:dyDescent="0.2">
      <c r="A86" s="25"/>
      <c r="B86" s="7"/>
      <c r="C86" s="5"/>
      <c r="D86" s="5"/>
      <c r="E86" s="5"/>
      <c r="F86" s="5"/>
      <c r="G86" s="5"/>
      <c r="H86" s="5"/>
      <c r="I86" s="5"/>
      <c r="J86" s="5"/>
      <c r="K86" s="5"/>
      <c r="L86" s="4"/>
    </row>
    <row r="87" spans="1:24" x14ac:dyDescent="0.2">
      <c r="A87" s="25"/>
      <c r="B87" s="7"/>
      <c r="C87" s="4"/>
      <c r="D87" s="4"/>
      <c r="E87" s="4"/>
      <c r="F87" s="4"/>
      <c r="G87" s="4"/>
      <c r="H87" s="4"/>
      <c r="I87" s="4"/>
      <c r="J87" s="4"/>
      <c r="K87" s="4"/>
    </row>
    <row r="88" spans="1:24" x14ac:dyDescent="0.2"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24" x14ac:dyDescent="0.2">
      <c r="A89" s="25"/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/>
    </row>
    <row r="90" spans="1:24" x14ac:dyDescent="0.2">
      <c r="A90" s="25"/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1"/>
      <c r="N90" s="8"/>
      <c r="O90" s="8"/>
      <c r="P90" s="8"/>
      <c r="Q90" s="8"/>
      <c r="R90" s="8"/>
      <c r="S90" s="8"/>
      <c r="T90" s="8"/>
      <c r="U90" s="8"/>
      <c r="V90" s="2"/>
      <c r="W90" s="2"/>
      <c r="X90" s="2"/>
    </row>
    <row r="91" spans="1:24" x14ac:dyDescent="0.2">
      <c r="A91" s="25"/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1"/>
      <c r="N91" s="8"/>
      <c r="O91" s="8"/>
      <c r="P91" s="8"/>
      <c r="Q91" s="8"/>
      <c r="R91" s="8"/>
      <c r="S91" s="8"/>
      <c r="T91" s="8"/>
      <c r="U91" s="8"/>
      <c r="V91" s="2"/>
      <c r="W91" s="2"/>
      <c r="X91" s="2"/>
    </row>
    <row r="92" spans="1:24" x14ac:dyDescent="0.2">
      <c r="M92" s="1"/>
      <c r="N92" s="8"/>
      <c r="O92" s="8"/>
      <c r="P92" s="8"/>
      <c r="Q92" s="8"/>
      <c r="R92" s="8"/>
      <c r="S92" s="8"/>
      <c r="T92" s="8"/>
      <c r="U92" s="8"/>
      <c r="V92" s="2"/>
      <c r="W92" s="2"/>
      <c r="X92" s="2"/>
    </row>
    <row r="93" spans="1:24" x14ac:dyDescent="0.2">
      <c r="M93" s="1"/>
      <c r="N93" s="8"/>
      <c r="O93" s="8"/>
      <c r="P93" s="8"/>
      <c r="Q93" s="8"/>
      <c r="R93" s="8"/>
      <c r="S93" s="8"/>
      <c r="T93" s="8"/>
      <c r="U93" s="8"/>
      <c r="V93" s="2"/>
      <c r="W93" s="2"/>
      <c r="X93" s="2"/>
    </row>
    <row r="94" spans="1:24" x14ac:dyDescent="0.2">
      <c r="M94" s="1"/>
      <c r="N94" s="8"/>
      <c r="O94" s="8"/>
      <c r="P94" s="8"/>
      <c r="Q94" s="8"/>
      <c r="R94" s="8"/>
      <c r="S94" s="8"/>
      <c r="T94" s="8"/>
      <c r="U94" s="8"/>
      <c r="V94" s="2"/>
      <c r="W94" s="2"/>
      <c r="X94" s="2"/>
    </row>
  </sheetData>
  <mergeCells count="9">
    <mergeCell ref="C71:M71"/>
    <mergeCell ref="A89:A91"/>
    <mergeCell ref="A81:A83"/>
    <mergeCell ref="A85:A87"/>
    <mergeCell ref="A76:A78"/>
    <mergeCell ref="A68:A70"/>
    <mergeCell ref="A18:A20"/>
    <mergeCell ref="A64:A66"/>
    <mergeCell ref="A72:A74"/>
  </mergeCells>
  <conditionalFormatting sqref="C7:E15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0:F90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2:L82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4:M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4:M6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5:M65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6:M66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8:M6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9:M69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2:M72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3:M73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4:M74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6:Q86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7:I7 L7:S7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:I8 L8:S8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:I8 L8:W8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9:I9 L9:S9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9:I9 L9:W9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0:I10 L10:S10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0:I10 L10:W10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:I11 L11:S11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:I11 L11:W11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:I12 L12:S12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:I12 L12:W12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3:I13 L13:S13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3:I13 L13:W13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4:I14 L14:S14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4:I14 L14:W14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5:I15 L15:S15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5:I15 L15:W15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S17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4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5"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6"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7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8"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9"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0:M40">
    <cfRule type="colorScale" priority="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1:M41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2:M42"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2:Z48 Z50:Z53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:Z55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5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9:Z50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7:E17 G17:W17"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9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S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4:S2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CBD4-9121-9848-B7EB-C7A70A3EDD30}">
  <dimension ref="A3:O16"/>
  <sheetViews>
    <sheetView workbookViewId="0">
      <selection activeCell="C29" sqref="C29"/>
    </sheetView>
  </sheetViews>
  <sheetFormatPr baseColWidth="10" defaultRowHeight="16" x14ac:dyDescent="0.2"/>
  <cols>
    <col min="2" max="2" width="24.83203125" bestFit="1" customWidth="1"/>
  </cols>
  <sheetData>
    <row r="3" spans="1:15" ht="18" x14ac:dyDescent="0.2">
      <c r="A3" s="3"/>
      <c r="B3" s="3"/>
      <c r="C3" s="3"/>
      <c r="D3" s="3"/>
      <c r="E3" s="3"/>
      <c r="F3" s="1"/>
      <c r="G3" s="2"/>
      <c r="H3" s="2"/>
      <c r="I3" s="2"/>
      <c r="J3" s="2"/>
      <c r="K3" s="2"/>
      <c r="L3" s="2"/>
      <c r="M3" s="3"/>
      <c r="N3" s="3"/>
      <c r="O3" s="3" t="s">
        <v>51</v>
      </c>
    </row>
    <row r="4" spans="1:15" ht="18" x14ac:dyDescent="0.2">
      <c r="A4" s="3"/>
      <c r="B4" s="3" t="s">
        <v>40</v>
      </c>
      <c r="C4" s="23">
        <v>1000</v>
      </c>
      <c r="D4" s="23">
        <v>5000</v>
      </c>
      <c r="E4" s="23">
        <v>10000</v>
      </c>
      <c r="F4" s="24">
        <v>15000</v>
      </c>
      <c r="G4" s="24">
        <v>20000</v>
      </c>
      <c r="H4" s="24">
        <v>25000</v>
      </c>
      <c r="I4" s="24">
        <v>30000</v>
      </c>
      <c r="J4" s="24">
        <v>35000</v>
      </c>
      <c r="K4" s="24">
        <v>40000</v>
      </c>
      <c r="L4" s="24">
        <v>45000</v>
      </c>
      <c r="M4" s="24">
        <v>50000</v>
      </c>
      <c r="N4" s="3"/>
      <c r="O4" s="3">
        <v>0</v>
      </c>
    </row>
    <row r="5" spans="1:15" ht="18" x14ac:dyDescent="0.2">
      <c r="A5" s="3"/>
      <c r="B5" s="3" t="s">
        <v>50</v>
      </c>
      <c r="C5" s="5"/>
      <c r="D5" s="5"/>
      <c r="E5" s="5"/>
      <c r="F5" s="5"/>
      <c r="G5" s="5"/>
      <c r="H5" s="5"/>
      <c r="I5" s="5"/>
      <c r="J5" s="5"/>
      <c r="K5" s="5"/>
      <c r="L5" s="5"/>
      <c r="M5" s="3"/>
      <c r="N5" s="3"/>
      <c r="O5" s="3"/>
    </row>
    <row r="6" spans="1:15" ht="18" x14ac:dyDescent="0.2">
      <c r="A6" s="25" t="s">
        <v>18</v>
      </c>
      <c r="B6" s="7" t="s">
        <v>44</v>
      </c>
      <c r="C6" s="5">
        <v>15.501799999999999</v>
      </c>
      <c r="D6" s="5"/>
      <c r="E6" s="5">
        <v>23.138000000000002</v>
      </c>
      <c r="F6" s="5"/>
      <c r="G6" s="5">
        <v>17.091000000000001</v>
      </c>
      <c r="H6" s="5"/>
      <c r="I6" s="5">
        <v>14.736599999999999</v>
      </c>
      <c r="J6" s="5"/>
      <c r="K6" s="5">
        <v>17.2013</v>
      </c>
      <c r="L6" s="5"/>
      <c r="M6" s="5">
        <v>16.796500000000002</v>
      </c>
      <c r="N6" s="3" t="s">
        <v>41</v>
      </c>
      <c r="O6" s="5">
        <v>5.3349000000000002</v>
      </c>
    </row>
    <row r="7" spans="1:15" ht="18" x14ac:dyDescent="0.2">
      <c r="A7" s="25"/>
      <c r="B7" s="7" t="s">
        <v>46</v>
      </c>
      <c r="C7" s="5">
        <v>10.256</v>
      </c>
      <c r="D7" s="5"/>
      <c r="E7" s="5">
        <v>10.015000000000001</v>
      </c>
      <c r="F7" s="5"/>
      <c r="G7" s="5">
        <v>9.6460000000000008</v>
      </c>
      <c r="H7" s="5"/>
      <c r="I7" s="5">
        <v>9.8390000000000004</v>
      </c>
      <c r="J7" s="5"/>
      <c r="K7" s="5">
        <v>8.7159999999999993</v>
      </c>
      <c r="L7" s="5"/>
      <c r="M7" s="5">
        <v>8.3819999999999997</v>
      </c>
      <c r="N7" s="3" t="s">
        <v>42</v>
      </c>
      <c r="O7" s="5">
        <v>4.0650000000000004</v>
      </c>
    </row>
    <row r="8" spans="1:15" ht="18" x14ac:dyDescent="0.2">
      <c r="A8" s="25"/>
      <c r="B8" s="7" t="s">
        <v>45</v>
      </c>
      <c r="C8" s="5">
        <v>5.7953999999999999</v>
      </c>
      <c r="D8" s="5"/>
      <c r="E8" s="5">
        <v>5.2868000000000004</v>
      </c>
      <c r="F8" s="5"/>
      <c r="G8" s="5">
        <v>4.7626999999999997</v>
      </c>
      <c r="H8" s="5"/>
      <c r="I8" s="5">
        <v>4.6642000000000001</v>
      </c>
      <c r="J8" s="5"/>
      <c r="K8" s="5">
        <v>4.4202000000000004</v>
      </c>
      <c r="L8" s="5"/>
      <c r="M8" s="5">
        <v>4.8757000000000001</v>
      </c>
      <c r="N8" s="3" t="s">
        <v>43</v>
      </c>
      <c r="O8" s="16">
        <v>2.7948</v>
      </c>
    </row>
    <row r="9" spans="1:15" ht="18" x14ac:dyDescent="0.2">
      <c r="A9" s="3"/>
      <c r="B9" s="3"/>
      <c r="C9" s="5"/>
      <c r="D9" s="5"/>
      <c r="E9" s="5"/>
      <c r="F9" s="5"/>
      <c r="G9" s="5"/>
      <c r="H9" s="5"/>
      <c r="I9" s="5"/>
      <c r="J9" s="5"/>
      <c r="K9" s="5"/>
      <c r="L9" s="5"/>
      <c r="M9" s="3"/>
      <c r="N9" s="3"/>
      <c r="O9" s="3"/>
    </row>
    <row r="10" spans="1:15" ht="18" x14ac:dyDescent="0.2">
      <c r="A10" s="3"/>
      <c r="B10" s="3" t="s">
        <v>40</v>
      </c>
      <c r="C10" s="23">
        <v>1000</v>
      </c>
      <c r="D10" s="23">
        <v>5000</v>
      </c>
      <c r="E10" s="23">
        <v>10000</v>
      </c>
      <c r="F10" s="24">
        <v>15000</v>
      </c>
      <c r="G10" s="24">
        <v>20000</v>
      </c>
      <c r="H10" s="24">
        <v>25000</v>
      </c>
      <c r="I10" s="24">
        <v>30000</v>
      </c>
      <c r="J10" s="24">
        <v>35000</v>
      </c>
      <c r="K10" s="24">
        <v>40000</v>
      </c>
      <c r="L10" s="24">
        <v>45000</v>
      </c>
      <c r="M10" s="24">
        <v>50000</v>
      </c>
      <c r="N10" s="3"/>
      <c r="O10" s="3">
        <v>60000</v>
      </c>
    </row>
    <row r="11" spans="1:15" ht="18" x14ac:dyDescent="0.2">
      <c r="A11" s="3"/>
      <c r="B11" s="3"/>
      <c r="C11" s="5"/>
      <c r="D11" s="5"/>
      <c r="E11" s="5"/>
      <c r="F11" s="5"/>
      <c r="G11" s="5"/>
      <c r="H11" s="5"/>
      <c r="I11" s="5"/>
      <c r="J11" s="5"/>
      <c r="K11" s="5"/>
      <c r="L11" s="5"/>
      <c r="M11" s="3"/>
      <c r="N11" s="3"/>
      <c r="O11" s="3"/>
    </row>
    <row r="12" spans="1:15" ht="18" x14ac:dyDescent="0.2">
      <c r="A12" s="25" t="s">
        <v>18</v>
      </c>
      <c r="B12" s="7" t="s">
        <v>47</v>
      </c>
      <c r="C12" s="5">
        <v>19.206299999999999</v>
      </c>
      <c r="D12" s="5">
        <v>13.2354</v>
      </c>
      <c r="E12" s="5">
        <v>11.547000000000001</v>
      </c>
      <c r="F12" s="5">
        <v>12.4133</v>
      </c>
      <c r="G12" s="5">
        <v>10.398400000000001</v>
      </c>
      <c r="H12" s="5">
        <v>11.6882</v>
      </c>
      <c r="I12" s="5"/>
      <c r="J12" s="5"/>
      <c r="K12" s="5"/>
      <c r="L12" s="5"/>
      <c r="M12" s="5"/>
      <c r="N12" s="3"/>
      <c r="O12" s="3"/>
    </row>
    <row r="13" spans="1:15" ht="18" x14ac:dyDescent="0.2">
      <c r="A13" s="25"/>
      <c r="B13" s="7" t="s">
        <v>48</v>
      </c>
      <c r="C13" s="5">
        <v>10.387</v>
      </c>
      <c r="D13" s="5">
        <v>7.5058999999999996</v>
      </c>
      <c r="E13" s="5">
        <v>7.9410999999999996</v>
      </c>
      <c r="F13" s="5">
        <v>6.7460000000000004</v>
      </c>
      <c r="G13" s="5">
        <v>6.7504999999999997</v>
      </c>
      <c r="H13" s="5">
        <v>7.8262999999999998</v>
      </c>
      <c r="I13" s="5"/>
      <c r="J13" s="5"/>
      <c r="K13" s="5"/>
      <c r="L13" s="5"/>
      <c r="M13" s="5"/>
      <c r="N13" s="3"/>
      <c r="O13" s="3"/>
    </row>
    <row r="14" spans="1:15" ht="18" x14ac:dyDescent="0.2">
      <c r="A14" s="25"/>
      <c r="B14" s="7" t="s">
        <v>49</v>
      </c>
      <c r="C14" s="5">
        <v>5.8516000000000004</v>
      </c>
      <c r="D14" s="5">
        <v>4.4569000000000001</v>
      </c>
      <c r="E14" s="5">
        <v>4.3131000000000004</v>
      </c>
      <c r="F14" s="5">
        <v>3.4537</v>
      </c>
      <c r="G14" s="5">
        <v>3.9409000000000001</v>
      </c>
      <c r="H14" s="5">
        <v>3.8717999999999999</v>
      </c>
      <c r="I14" s="5"/>
      <c r="J14" s="5"/>
      <c r="K14" s="5"/>
      <c r="L14" s="5"/>
      <c r="M14" s="5"/>
      <c r="N14" s="3"/>
      <c r="O14" s="3"/>
    </row>
    <row r="15" spans="1:15" ht="18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8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</sheetData>
  <mergeCells count="2">
    <mergeCell ref="A6:A8"/>
    <mergeCell ref="A12:A14"/>
  </mergeCells>
  <conditionalFormatting sqref="C12:H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:H1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:H1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M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M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:M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:M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 outcomes</vt:lpstr>
      <vt:lpstr>Training progresion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Kuiper, R.J.A. (Ruurd)</dc:creator>
  <cp:keywords/>
  <dc:description/>
  <cp:lastModifiedBy>Kuiper, R.J.A. (Ruurd)</cp:lastModifiedBy>
  <dcterms:created xsi:type="dcterms:W3CDTF">2026-08-17T14:43:43Z</dcterms:created>
  <dcterms:modified xsi:type="dcterms:W3CDTF">2026-09-18T10:28:02Z</dcterms:modified>
  <cp:category/>
</cp:coreProperties>
</file>