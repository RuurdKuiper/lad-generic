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6980" tabRatio="600" firstSheet="0" activeTab="0" autoFilterDateGrouping="1"/>
  </bookViews>
  <sheets>
    <sheet xmlns:r="http://schemas.openxmlformats.org/officeDocument/2006/relationships" name="Primary outcomes" sheetId="1" state="visible" r:id="rId1"/>
    <sheet xmlns:r="http://schemas.openxmlformats.org/officeDocument/2006/relationships" name="Training progresion" sheetId="2" state="visible" r:id="rId2"/>
    <sheet xmlns:r="http://schemas.openxmlformats.org/officeDocument/2006/relationships" name="Import provenanc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rial"/>
      <family val="2"/>
      <b val="1"/>
      <color rgb="FF1F1F1F"/>
      <sz val="14"/>
    </font>
    <font>
      <name val="Arial"/>
      <family val="2"/>
      <color rgb="FF1F1F1F"/>
      <sz val="14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4"/>
    </font>
    <font>
      <name val="Arial"/>
      <family val="2"/>
      <b val="1"/>
      <color theme="1"/>
      <sz val="14"/>
    </font>
    <font>
      <name val="Aptos Narrow"/>
      <b val="1"/>
      <sz val="12"/>
    </font>
    <font>
      <name val="Aptos Narrow"/>
      <family val="2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4" fillId="0" borderId="0" pivotButton="0" quotePrefix="0" xfId="1"/>
    <xf numFmtId="164" fontId="4" fillId="0" borderId="0" pivotButton="0" quotePrefix="0" xfId="0"/>
    <xf numFmtId="0" fontId="4" fillId="0" borderId="0" pivotButton="0" quotePrefix="0" xfId="1"/>
    <xf numFmtId="0" fontId="6" fillId="0" borderId="0" pivotButton="0" quotePrefix="0" xfId="0"/>
    <xf numFmtId="164" fontId="6" fillId="0" borderId="0" pivotButton="0" quotePrefix="0" xfId="0"/>
    <xf numFmtId="2" fontId="4" fillId="0" borderId="0" pivotButton="0" quotePrefix="0" xfId="1"/>
    <xf numFmtId="2" fontId="2" fillId="0" borderId="0" pivotButton="0" quotePrefix="0" xfId="0"/>
    <xf numFmtId="10" fontId="2" fillId="0" borderId="0" pivotButton="0" quotePrefix="0" xfId="0"/>
    <xf numFmtId="10" fontId="4" fillId="0" borderId="0" pivotButton="0" quotePrefix="0" xfId="1"/>
    <xf numFmtId="10" fontId="3" fillId="0" borderId="0" pivotButton="0" quotePrefix="0" xfId="1"/>
    <xf numFmtId="10" fontId="2" fillId="0" borderId="0" pivotButton="0" quotePrefix="0" xfId="1"/>
    <xf numFmtId="0" fontId="5" fillId="0" borderId="0" applyAlignment="1" pivotButton="0" quotePrefix="0" xfId="0">
      <alignment horizontal="center" vertical="center" textRotation="90"/>
    </xf>
    <xf numFmtId="1" fontId="4" fillId="0" borderId="0" pivotButton="0" quotePrefix="0" xfId="0"/>
    <xf numFmtId="1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0" fontId="7" fillId="0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textRotation="90"/>
    </xf>
    <xf numFmtId="0" fontId="0" fillId="0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 Codex</author>
  </authors>
  <commentList>
    <comment ref="C18" authorId="0" shapeId="0">
      <text>
        <t>Imported from run 20260918T112818.173051Z--colab-validation
Model: gemma-2-9b-mask/best
Method: diffusion
128 generated tokens; 32 iterations
Token-weighted perplexity: exp(total NLL / total scored tokens).</t>
      </text>
    </comment>
    <comment ref="D18" authorId="0" shapeId="0">
      <text>
        <t>Imported from run 20260918T112818.173051Z--colab-validation
Model: gemma-2-9b-mask/best
Method: autoregressive
128 generated tokens; AR iterations
Token-weighted perplexity: exp(total NLL / total scored tokens).</t>
      </text>
    </comment>
    <comment ref="E18" authorId="0" shapeId="0">
      <text>
        <t>Imported from run 20260918T112818.173051Z--colab-validation
Model: llama-3.1-8b-mask/best
Method: diffusion
128 generated tokens; 32 iterations
Token-weighted perplexity: exp(total NLL / total scored tokens).</t>
      </text>
    </comment>
    <comment ref="G18" authorId="0" shapeId="0">
      <text>
        <t>Imported from run 20260918T112818.173051Z--colab-validation
Model: llama-3.1-8b-mask-continued/best
Method: diffusion
128 generated tokens; 32 iterations
Token-weighted perplexity: exp(total NLL / total scored tokens).</t>
      </text>
    </comment>
    <comment ref="H18" authorId="0" shapeId="0">
      <text>
        <t>Imported from run 20260918T112818.173051Z--colab-validation
Model: llama-3.1-8b-mask-frontier-answer90-padding10-long-epoch1-lr1e-5/checkpoint-25000
Method: diffusion
128 generated tokens; 32 iterations
Token-weighted perplexity: exp(total NLL / total scored tokens).</t>
      </text>
    </comment>
    <comment ref="I18" authorId="0" shapeId="0">
      <text>
        <t>Imported from run 20260918T112818.173051Z--colab-validation
Model: llama-3.1-8b-mask-frontier-answer90-padding10-long-epoch1-lr1e-5/checkpoint-50000
Method: diffusion
128 generated tokens; 32 iterations
Token-weighted perplexity: exp(total NLL / total scored tokens).</t>
      </text>
    </comment>
    <comment ref="J18" authorId="0" shapeId="0">
      <text>
        <t>Imported from run 20260918T112818.173051Z--colab-validation
Model: llama-3.1-8b-mask/best
Method: autoregressive
128 generated tokens; AR iterations
Token-weighted perplexity: exp(total NLL / total scored tokens).</t>
      </text>
    </comment>
    <comment ref="K18" authorId="0" shapeId="0">
      <text>
        <t>Imported from run 20260918T112818.173051Z--colab-validation
Model: qwen-2.5-7b-mask/best
Method: diffusion
128 generated tokens; 32 iterations
Token-weighted perplexity: exp(total NLL / total scored tokens).</t>
      </text>
    </comment>
    <comment ref="L18" authorId="0" shapeId="0">
      <text>
        <t>Imported from run 20260918T112818.173051Z--colab-validation
Model: qwen-2.5-7b-mask/best
Method: autoregressive
128 generated tokens; AR iterations
Token-weighted perplexity: exp(total NLL / total scored tokens).</t>
      </text>
    </comment>
    <comment ref="M18" authorId="0" shapeId="0">
      <text>
        <t>Imported from run 20260918T112818.173051Z--colab-validation
Model: ministral-8b-mask/best
Method: diffusion
128 generated tokens; 32 iterations
Token-weighted perplexity: exp(total NLL / total scored tokens).</t>
      </text>
    </comment>
    <comment ref="N18" authorId="0" shapeId="0">
      <text>
        <t>Imported from run 20260918T112818.173051Z--colab-validation
Model: ministral-8b-mask/best
Method: autoregressive
128 generated tokens; AR iterations
Token-weighted perplexity: exp(total NLL / total scored tokens).</t>
      </text>
    </comment>
    <comment ref="Q18" authorId="0" shapeId="0">
      <text>
        <t>Imported from run 20260918T112818.173051Z--colab-validation
Model: llada:GSAI-ML/LLaDA-8B-Instruct
Method: diffusion
128 generated tokens; 32 iterations
Token-weighted perplexity: exp(total NLL / total scored tokens).</t>
      </text>
    </comment>
    <comment ref="C23" authorId="0" shapeId="0">
      <text>
        <t>Imported from run 20260918T112818.173051Z--colab-validation
Model: gemma-2-9b-mask/best
Method: diffusion
128 generated tokens; 32 iterations
Mean per-answer sliding model-token Distinct-1.</t>
      </text>
    </comment>
    <comment ref="D23" authorId="0" shapeId="0">
      <text>
        <t>Imported from run 20260918T112818.173051Z--colab-validation
Model: gemma-2-9b-mask/best
Method: autoregressive
128 generated tokens; AR iterations
Mean per-answer sliding model-token Distinct-1.</t>
      </text>
    </comment>
    <comment ref="E23" authorId="0" shapeId="0">
      <text>
        <t>Imported from run 20260918T112818.173051Z--colab-validation
Model: llama-3.1-8b-mask/best
Method: diffusion
128 generated tokens; 32 iterations
Mean per-answer sliding model-token Distinct-1.</t>
      </text>
    </comment>
    <comment ref="G23" authorId="0" shapeId="0">
      <text>
        <t>Imported from run 20260918T112818.173051Z--colab-validation
Model: llama-3.1-8b-mask-continued/best
Method: diffusion
128 generated tokens; 32 iterations
Mean per-answer sliding model-token Distinct-1.</t>
      </text>
    </comment>
    <comment ref="H2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Distinct-1.</t>
      </text>
    </comment>
    <comment ref="I2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Distinct-1.</t>
      </text>
    </comment>
    <comment ref="J23" authorId="0" shapeId="0">
      <text>
        <t>Imported from run 20260918T112818.173051Z--colab-validation
Model: llama-3.1-8b-mask/best
Method: autoregressive
128 generated tokens; AR iterations
Mean per-answer sliding model-token Distinct-1.</t>
      </text>
    </comment>
    <comment ref="K23" authorId="0" shapeId="0">
      <text>
        <t>Imported from run 20260918T112818.173051Z--colab-validation
Model: qwen-2.5-7b-mask/best
Method: diffusion
128 generated tokens; 32 iterations
Mean per-answer sliding model-token Distinct-1.</t>
      </text>
    </comment>
    <comment ref="L23" authorId="0" shapeId="0">
      <text>
        <t>Imported from run 20260918T112818.173051Z--colab-validation
Model: qwen-2.5-7b-mask/best
Method: autoregressive
128 generated tokens; AR iterations
Mean per-answer sliding model-token Distinct-1.</t>
      </text>
    </comment>
    <comment ref="M23" authorId="0" shapeId="0">
      <text>
        <t>Imported from run 20260918T112818.173051Z--colab-validation
Model: ministral-8b-mask/best
Method: diffusion
128 generated tokens; 32 iterations
Mean per-answer sliding model-token Distinct-1.</t>
      </text>
    </comment>
    <comment ref="N23" authorId="0" shapeId="0">
      <text>
        <t>Imported from run 20260918T112818.173051Z--colab-validation
Model: ministral-8b-mask/best
Method: autoregressive
128 generated tokens; AR iterations
Mean per-answer sliding model-token Distinct-1.</t>
      </text>
    </comment>
    <comment ref="Q23" authorId="0" shapeId="0">
      <text>
        <t>Imported from run 20260918T112818.173051Z--colab-validation
Model: llada:GSAI-ML/LLaDA-8B-Instruct
Method: diffusion
128 generated tokens; 32 iterations
Mean per-answer sliding model-token Distinct-1.</t>
      </text>
    </comment>
    <comment ref="C28" authorId="0" shapeId="0">
      <text>
        <t>Imported from run 20260918T112818.173051Z--colab-validation
Model: gemma-2-9b-mask/best
Method: diffusion
128 generated tokens; 32 iterations
Mean per-answer sliding model-token Distinct-2.</t>
      </text>
    </comment>
    <comment ref="D28" authorId="0" shapeId="0">
      <text>
        <t>Imported from run 20260918T112818.173051Z--colab-validation
Model: gemma-2-9b-mask/best
Method: autoregressive
128 generated tokens; AR iterations
Mean per-answer sliding model-token Distinct-2.</t>
      </text>
    </comment>
    <comment ref="E28" authorId="0" shapeId="0">
      <text>
        <t>Imported from run 20260918T112818.173051Z--colab-validation
Model: llama-3.1-8b-mask/best
Method: diffusion
128 generated tokens; 32 iterations
Mean per-answer sliding model-token Distinct-2.</t>
      </text>
    </comment>
    <comment ref="G28" authorId="0" shapeId="0">
      <text>
        <t>Imported from run 20260918T112818.173051Z--colab-validation
Model: llama-3.1-8b-mask-continued/best
Method: diffusion
128 generated tokens; 32 iterations
Mean per-answer sliding model-token Distinct-2.</t>
      </text>
    </comment>
    <comment ref="H28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Distinct-2.</t>
      </text>
    </comment>
    <comment ref="I28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Distinct-2.</t>
      </text>
    </comment>
    <comment ref="J28" authorId="0" shapeId="0">
      <text>
        <t>Imported from run 20260918T112818.173051Z--colab-validation
Model: llama-3.1-8b-mask/best
Method: autoregressive
128 generated tokens; AR iterations
Mean per-answer sliding model-token Distinct-2.</t>
      </text>
    </comment>
    <comment ref="K28" authorId="0" shapeId="0">
      <text>
        <t>Imported from run 20260918T112818.173051Z--colab-validation
Model: qwen-2.5-7b-mask/best
Method: diffusion
128 generated tokens; 32 iterations
Mean per-answer sliding model-token Distinct-2.</t>
      </text>
    </comment>
    <comment ref="L28" authorId="0" shapeId="0">
      <text>
        <t>Imported from run 20260918T112818.173051Z--colab-validation
Model: qwen-2.5-7b-mask/best
Method: autoregressive
128 generated tokens; AR iterations
Mean per-answer sliding model-token Distinct-2.</t>
      </text>
    </comment>
    <comment ref="M28" authorId="0" shapeId="0">
      <text>
        <t>Imported from run 20260918T112818.173051Z--colab-validation
Model: ministral-8b-mask/best
Method: diffusion
128 generated tokens; 32 iterations
Mean per-answer sliding model-token Distinct-2.</t>
      </text>
    </comment>
    <comment ref="N28" authorId="0" shapeId="0">
      <text>
        <t>Imported from run 20260918T112818.173051Z--colab-validation
Model: ministral-8b-mask/best
Method: autoregressive
128 generated tokens; AR iterations
Mean per-answer sliding model-token Distinct-2.</t>
      </text>
    </comment>
    <comment ref="Q28" authorId="0" shapeId="0">
      <text>
        <t>Imported from run 20260918T112818.173051Z--colab-validation
Model: llada:GSAI-ML/LLaDA-8B-Instruct
Method: diffusion
128 generated tokens; 32 iterations
Mean per-answer sliding model-token Distinct-2.</t>
      </text>
    </comment>
    <comment ref="C33" authorId="0" shapeId="0">
      <text>
        <t>Imported from run 20260918T112818.173051Z--colab-validation
Model: gemma-2-9b-mask/best
Method: diffusion
128 generated tokens; 32 iterations
Mean per-answer sliding model-token Distinct-3.</t>
      </text>
    </comment>
    <comment ref="D33" authorId="0" shapeId="0">
      <text>
        <t>Imported from run 20260918T112818.173051Z--colab-validation
Model: gemma-2-9b-mask/best
Method: autoregressive
128 generated tokens; AR iterations
Mean per-answer sliding model-token Distinct-3.</t>
      </text>
    </comment>
    <comment ref="E33" authorId="0" shapeId="0">
      <text>
        <t>Imported from run 20260918T112818.173051Z--colab-validation
Model: llama-3.1-8b-mask/best
Method: diffusion
128 generated tokens; 32 iterations
Mean per-answer sliding model-token Distinct-3.</t>
      </text>
    </comment>
    <comment ref="G33" authorId="0" shapeId="0">
      <text>
        <t>Imported from run 20260918T112818.173051Z--colab-validation
Model: llama-3.1-8b-mask-continued/best
Method: diffusion
128 generated tokens; 32 iterations
Mean per-answer sliding model-token Distinct-3.</t>
      </text>
    </comment>
    <comment ref="H33" authorId="0" shapeId="0">
      <text>
        <t>Imported from run 20260918T112818.173051Z--colab-validation
Model: llama-3.1-8b-mask-frontier-answer90-padding10-long-epoch1-lr1e-5/checkpoint-25000
Method: diffusion
128 generated tokens; 32 iterations
Mean per-answer sliding model-token Distinct-3.</t>
      </text>
    </comment>
    <comment ref="I33" authorId="0" shapeId="0">
      <text>
        <t>Imported from run 20260918T112818.173051Z--colab-validation
Model: llama-3.1-8b-mask-frontier-answer90-padding10-long-epoch1-lr1e-5/checkpoint-50000
Method: diffusion
128 generated tokens; 32 iterations
Mean per-answer sliding model-token Distinct-3.</t>
      </text>
    </comment>
    <comment ref="J33" authorId="0" shapeId="0">
      <text>
        <t>Imported from run 20260918T112818.173051Z--colab-validation
Model: llama-3.1-8b-mask/best
Method: autoregressive
128 generated tokens; AR iterations
Mean per-answer sliding model-token Distinct-3.</t>
      </text>
    </comment>
    <comment ref="K33" authorId="0" shapeId="0">
      <text>
        <t>Imported from run 20260918T112818.173051Z--colab-validation
Model: qwen-2.5-7b-mask/best
Method: diffusion
128 generated tokens; 32 iterations
Mean per-answer sliding model-token Distinct-3.</t>
      </text>
    </comment>
    <comment ref="L33" authorId="0" shapeId="0">
      <text>
        <t>Imported from run 20260918T112818.173051Z--colab-validation
Model: qwen-2.5-7b-mask/best
Method: autoregressive
128 generated tokens; AR iterations
Mean per-answer sliding model-token Distinct-3.</t>
      </text>
    </comment>
    <comment ref="M33" authorId="0" shapeId="0">
      <text>
        <t>Imported from run 20260918T112818.173051Z--colab-validation
Model: ministral-8b-mask/best
Method: diffusion
128 generated tokens; 32 iterations
Mean per-answer sliding model-token Distinct-3.</t>
      </text>
    </comment>
    <comment ref="N33" authorId="0" shapeId="0">
      <text>
        <t>Imported from run 20260918T112818.173051Z--colab-validation
Model: ministral-8b-mask/best
Method: autoregressive
128 generated tokens; AR iterations
Mean per-answer sliding model-token Distinct-3.</t>
      </text>
    </comment>
    <comment ref="Q33" authorId="0" shapeId="0">
      <text>
        <t>Imported from run 20260918T112818.173051Z--colab-validation
Model: llada:GSAI-ML/LLaDA-8B-Instruct
Method: diffusion
128 generated tokens; 32 iterations
Mean per-answer sliding model-token Distinct-3.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4"/>
  <sheetViews>
    <sheetView tabSelected="1" zoomScale="50" zoomScaleNormal="69" workbookViewId="0">
      <selection activeCell="G28" sqref="G28"/>
    </sheetView>
  </sheetViews>
  <sheetFormatPr baseColWidth="10" defaultRowHeight="18"/>
  <cols>
    <col width="10.83203125" customWidth="1" style="30" min="1" max="1"/>
    <col width="52.83203125" customWidth="1" style="30" min="2" max="2"/>
    <col width="23.83203125" bestFit="1" customWidth="1" style="30" min="3" max="3"/>
    <col width="45.83203125" customWidth="1" style="30" min="4" max="4"/>
    <col width="23.6640625" bestFit="1" customWidth="1" style="30" min="5" max="5"/>
    <col width="34" bestFit="1" customWidth="1" style="30" min="6" max="6"/>
    <col width="34" customWidth="1" style="30" min="7" max="9"/>
    <col width="35.6640625" bestFit="1" customWidth="1" style="30" min="10" max="10"/>
    <col width="23.33203125" bestFit="1" customWidth="1" style="30" min="11" max="11"/>
    <col width="23.33203125" customWidth="1" style="30" min="12" max="15"/>
    <col width="27.1640625" bestFit="1" customWidth="1" style="30" min="16" max="16"/>
    <col width="29.33203125" customWidth="1" style="30" min="17" max="17"/>
    <col width="40.33203125" customWidth="1" style="30" min="18" max="18"/>
    <col width="20" bestFit="1" customWidth="1" style="30" min="19" max="19"/>
    <col width="21.5" bestFit="1" customWidth="1" style="30" min="20" max="20"/>
    <col width="10.83203125" customWidth="1" style="30" min="21" max="21"/>
    <col width="13.6640625" customWidth="1" style="30" min="22" max="22"/>
    <col width="10.83203125" customWidth="1" style="30" min="23" max="28"/>
    <col width="10.83203125" customWidth="1" style="30" min="29" max="16384"/>
  </cols>
  <sheetData>
    <row r="1">
      <c r="E1" s="13" t="inlineStr">
        <is>
          <t>Red tekst</t>
        </is>
      </c>
      <c r="F1" s="13" t="n"/>
      <c r="G1" s="13" t="n"/>
      <c r="H1" s="13" t="n"/>
      <c r="I1" s="13" t="n"/>
      <c r="J1" s="30" t="inlineStr">
        <is>
          <t>measured over 250 samples</t>
        </is>
      </c>
      <c r="K1" s="7" t="n"/>
      <c r="L1" s="7" t="n"/>
      <c r="M1" s="7" t="n"/>
      <c r="N1" s="7" t="n"/>
      <c r="O1" s="7" t="n"/>
    </row>
    <row r="2">
      <c r="E2" s="30" t="inlineStr">
        <is>
          <t>Black tekst</t>
        </is>
      </c>
      <c r="J2" s="30" t="inlineStr">
        <is>
          <t>measured over 50 samples</t>
        </is>
      </c>
    </row>
    <row r="3">
      <c r="K3" s="1" t="n"/>
      <c r="L3" s="1" t="n"/>
      <c r="M3" s="1" t="n"/>
      <c r="N3" s="1" t="n"/>
      <c r="O3" s="1" t="n"/>
    </row>
    <row r="4">
      <c r="V4" s="1" t="n"/>
    </row>
    <row r="5">
      <c r="B5" s="1" t="inlineStr">
        <is>
          <t>model</t>
        </is>
      </c>
      <c r="C5" s="1" t="inlineStr">
        <is>
          <t>gemma-2-9b-mask</t>
        </is>
      </c>
      <c r="D5" s="1" t="inlineStr">
        <is>
          <t>gemma-2-9b-autoregressive</t>
        </is>
      </c>
      <c r="E5" s="1" t="inlineStr">
        <is>
          <t>llama-3.1-8b-mask</t>
        </is>
      </c>
      <c r="F5" s="1" t="inlineStr">
        <is>
          <t>llama-3.1-8b-mask-merged</t>
        </is>
      </c>
      <c r="G5" s="1" t="inlineStr">
        <is>
          <t>llama-3.1-8b-mask-continued</t>
        </is>
      </c>
      <c r="H5" s="8" t="inlineStr">
        <is>
          <t>llama-3.1-8b-mask-frontier-answer90-padding10-long-epoch1-lr1e-5/checkpoint-25000</t>
        </is>
      </c>
      <c r="I5" s="8" t="inlineStr">
        <is>
          <t>llama-3.1-8b-mask-frontier-answer90-padding10-long-epoch1-lr1e-5/checkpoint-50000</t>
        </is>
      </c>
      <c r="J5" s="1" t="inlineStr">
        <is>
          <t>llama-3.1-8b-autoregressive</t>
        </is>
      </c>
      <c r="K5" s="1" t="inlineStr">
        <is>
          <t>qwen-2.5-7b-mask</t>
        </is>
      </c>
      <c r="L5" s="1" t="inlineStr">
        <is>
          <t>qwen-2.5-7b-autoregressive</t>
        </is>
      </c>
      <c r="M5" s="1" t="inlineStr">
        <is>
          <t>ministral-mask</t>
        </is>
      </c>
      <c r="N5" s="1" t="inlineStr">
        <is>
          <t>ministral-autoregressive</t>
        </is>
      </c>
      <c r="O5" s="1" t="inlineStr">
        <is>
          <t>llama-3.1-8b-struct</t>
        </is>
      </c>
      <c r="P5" s="1" t="inlineStr">
        <is>
          <t>LAD-8B-struct-legacy</t>
        </is>
      </c>
      <c r="Q5" s="1" t="inlineStr">
        <is>
          <t>LLaDA-8B-Instruct (own validation)</t>
        </is>
      </c>
      <c r="R5" s="7" t="inlineStr">
        <is>
          <t>LLaDA-Instruct (according to paper)</t>
        </is>
      </c>
      <c r="S5" s="7" t="inlineStr">
        <is>
          <t>Dream-Instruct</t>
        </is>
      </c>
      <c r="T5" s="7" t="inlineStr">
        <is>
          <t>iLLaDA-Instruct</t>
        </is>
      </c>
      <c r="U5" s="7" t="inlineStr">
        <is>
          <t>Efficient-DLM 8B</t>
        </is>
      </c>
      <c r="W5" s="1" t="n"/>
    </row>
    <row r="6">
      <c r="B6" s="1" t="inlineStr">
        <is>
          <t>task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>
      <c r="B7" s="1" t="inlineStr">
        <is>
          <t>arc_c</t>
        </is>
      </c>
      <c r="C7" s="9" t="n">
        <v>0.88</v>
      </c>
      <c r="D7" s="9" t="n"/>
      <c r="E7" s="14" t="n">
        <v>0.828</v>
      </c>
      <c r="F7" s="2" t="n">
        <v>0.82</v>
      </c>
      <c r="G7" s="2" t="n">
        <v>0.78</v>
      </c>
      <c r="H7" s="2" t="n"/>
      <c r="I7" s="2" t="n"/>
      <c r="J7" s="14" t="n">
        <v>0.776</v>
      </c>
      <c r="K7" s="9" t="n">
        <v>0.84</v>
      </c>
      <c r="L7" s="9" t="n"/>
      <c r="M7" s="9" t="n">
        <v>0.82</v>
      </c>
      <c r="N7" s="9" t="n">
        <v>0.74</v>
      </c>
      <c r="O7" s="9" t="n">
        <v>0.7</v>
      </c>
      <c r="P7" s="9" t="n">
        <v>0.74</v>
      </c>
      <c r="Q7" s="9" t="n">
        <v>0.88</v>
      </c>
      <c r="R7" s="10" t="n">
        <v>0.885</v>
      </c>
      <c r="S7" s="10" t="n"/>
      <c r="T7" s="10" t="n"/>
      <c r="U7" s="10" t="n">
        <v>0.6186</v>
      </c>
      <c r="V7" s="11" t="n"/>
      <c r="W7" s="11">
        <f>Q7-R7</f>
        <v/>
      </c>
      <c r="X7" s="11">
        <f>Q7-E7</f>
        <v/>
      </c>
    </row>
    <row r="8">
      <c r="B8" s="1" t="inlineStr">
        <is>
          <t>gpqa</t>
        </is>
      </c>
      <c r="C8" s="9" t="n">
        <v>0.36</v>
      </c>
      <c r="D8" s="9" t="n"/>
      <c r="E8" s="9" t="n">
        <v>0.28</v>
      </c>
      <c r="F8" s="2" t="n">
        <v>0.3</v>
      </c>
      <c r="G8" s="2" t="n">
        <v>0.22</v>
      </c>
      <c r="H8" s="2" t="n"/>
      <c r="I8" s="2" t="n"/>
      <c r="J8" s="9" t="n"/>
      <c r="K8" s="9" t="n">
        <v>0.38</v>
      </c>
      <c r="L8" s="9" t="n"/>
      <c r="M8" s="9" t="n">
        <v>0.24</v>
      </c>
      <c r="N8" s="9" t="n"/>
      <c r="O8" s="9" t="n">
        <v>0.18</v>
      </c>
      <c r="P8" s="9" t="n">
        <v>0.18</v>
      </c>
      <c r="Q8" s="9" t="n">
        <v>0.3</v>
      </c>
      <c r="R8" s="10" t="n">
        <v>0.333</v>
      </c>
      <c r="S8" s="10" t="n">
        <v>0.33</v>
      </c>
      <c r="T8" s="10" t="n"/>
      <c r="U8" s="10" t="n"/>
      <c r="V8" s="11" t="n"/>
      <c r="W8" s="11">
        <f>Q8-R8</f>
        <v/>
      </c>
      <c r="X8" s="11">
        <f>Q8-E8</f>
        <v/>
      </c>
    </row>
    <row r="9">
      <c r="B9" s="1" t="inlineStr">
        <is>
          <t>gsm8k</t>
        </is>
      </c>
      <c r="C9" s="9" t="n">
        <v>0.6</v>
      </c>
      <c r="D9" s="9" t="n"/>
      <c r="E9" s="14" t="n">
        <v>0.652</v>
      </c>
      <c r="F9" s="2" t="n">
        <v>0.58</v>
      </c>
      <c r="G9" s="2" t="n">
        <v>0.62</v>
      </c>
      <c r="H9" s="2" t="n"/>
      <c r="I9" s="2" t="n"/>
      <c r="J9" s="14" t="n">
        <v>0.856</v>
      </c>
      <c r="K9" s="9" t="n">
        <v>0.5600000000000001</v>
      </c>
      <c r="L9" s="9" t="n"/>
      <c r="M9" s="9" t="n">
        <v>0.6</v>
      </c>
      <c r="N9" s="9" t="n">
        <v>0.86</v>
      </c>
      <c r="O9" s="9" t="n">
        <v>0.24</v>
      </c>
      <c r="P9" s="9" t="n">
        <v>0.06</v>
      </c>
      <c r="Q9" s="9" t="n">
        <v>0.64</v>
      </c>
      <c r="R9" s="10" t="n">
        <v>0.6940000000000001</v>
      </c>
      <c r="S9" s="10" t="n">
        <v>0.8100000000000001</v>
      </c>
      <c r="T9" s="10" t="n">
        <v>0.89</v>
      </c>
      <c r="U9" s="10" t="n">
        <v>0.8832</v>
      </c>
      <c r="V9" s="11" t="n"/>
      <c r="W9" s="11">
        <f>Q9-R9</f>
        <v/>
      </c>
      <c r="X9" s="11">
        <f>Q9-E9</f>
        <v/>
      </c>
    </row>
    <row r="10">
      <c r="B10" s="1" t="inlineStr">
        <is>
          <t>hellaswag</t>
        </is>
      </c>
      <c r="C10" s="9" t="n">
        <v>0.76</v>
      </c>
      <c r="D10" s="9" t="n"/>
      <c r="E10" s="14" t="n">
        <v>0.732</v>
      </c>
      <c r="F10" s="2" t="n">
        <v>0.68</v>
      </c>
      <c r="G10" s="2" t="n">
        <v>0.84</v>
      </c>
      <c r="H10" s="2" t="n"/>
      <c r="I10" s="2" t="n"/>
      <c r="J10" s="14" t="n">
        <v>0.588</v>
      </c>
      <c r="K10" s="9" t="n">
        <v>0.74</v>
      </c>
      <c r="L10" s="9" t="n"/>
      <c r="M10" s="9" t="n">
        <v>0.82</v>
      </c>
      <c r="N10" s="9" t="n">
        <v>0.72</v>
      </c>
      <c r="O10" s="9" t="n">
        <v>0.8</v>
      </c>
      <c r="P10" s="9" t="n">
        <v>0.64</v>
      </c>
      <c r="Q10" s="9" t="n">
        <v>0.72</v>
      </c>
      <c r="R10" s="10" t="n">
        <v>0.746</v>
      </c>
      <c r="S10" s="10" t="n"/>
      <c r="T10" s="10" t="n"/>
      <c r="U10" s="10" t="n">
        <v>0.7253000000000001</v>
      </c>
      <c r="V10" s="11" t="n"/>
      <c r="W10" s="11">
        <f>Q10-R10</f>
        <v/>
      </c>
      <c r="X10" s="11">
        <f>Q10-E10</f>
        <v/>
      </c>
    </row>
    <row r="11">
      <c r="B11" s="1" t="inlineStr">
        <is>
          <t>humaneval</t>
        </is>
      </c>
      <c r="C11" s="9" t="n">
        <v>0.5</v>
      </c>
      <c r="D11" s="9" t="n"/>
      <c r="E11" s="9" t="n">
        <v>0.5</v>
      </c>
      <c r="F11" s="2" t="n">
        <v>0.48</v>
      </c>
      <c r="G11" s="2" t="n">
        <v>0.38</v>
      </c>
      <c r="H11" s="2" t="n"/>
      <c r="I11" s="2" t="n"/>
      <c r="J11" s="9" t="n"/>
      <c r="K11" s="9" t="n">
        <v>0.32</v>
      </c>
      <c r="L11" s="9" t="n"/>
      <c r="M11" s="9" t="n"/>
      <c r="N11" s="9" t="n"/>
      <c r="O11" s="9" t="n">
        <v>0.14</v>
      </c>
      <c r="P11" s="9" t="n">
        <v>0</v>
      </c>
      <c r="Q11" s="9" t="n">
        <v>0.58</v>
      </c>
      <c r="R11" s="10" t="n">
        <v>0.494</v>
      </c>
      <c r="S11" s="10" t="n">
        <v>0.555</v>
      </c>
      <c r="T11" s="10" t="n">
        <v>0.659</v>
      </c>
      <c r="U11" s="10" t="n">
        <v>0.6829000000000001</v>
      </c>
      <c r="V11" s="11" t="n"/>
      <c r="W11" s="11">
        <f>Q11-R11</f>
        <v/>
      </c>
      <c r="X11" s="11">
        <f>Q11-E11</f>
        <v/>
      </c>
    </row>
    <row r="12">
      <c r="B12" s="1" t="inlineStr">
        <is>
          <t>math</t>
        </is>
      </c>
      <c r="C12" s="9" t="n">
        <v>0.3</v>
      </c>
      <c r="D12" s="9" t="n"/>
      <c r="E12" s="9" t="n">
        <v>0.22</v>
      </c>
      <c r="F12" s="2" t="n">
        <v>0.22</v>
      </c>
      <c r="G12" s="2" t="n">
        <v>0.18</v>
      </c>
      <c r="H12" s="2" t="n"/>
      <c r="I12" s="2" t="n"/>
      <c r="J12" s="9" t="n"/>
      <c r="K12" s="9" t="n">
        <v>0.36</v>
      </c>
      <c r="L12" s="9" t="n"/>
      <c r="M12" s="9" t="n"/>
      <c r="N12" s="9" t="n"/>
      <c r="O12" s="9" t="n">
        <v>0.06</v>
      </c>
      <c r="P12" s="9" t="n">
        <v>0</v>
      </c>
      <c r="Q12" s="9" t="n">
        <v>0.38</v>
      </c>
      <c r="R12" s="10" t="n">
        <v>0.319</v>
      </c>
      <c r="S12" s="10" t="n">
        <v>0.392</v>
      </c>
      <c r="T12" s="10" t="n">
        <v>0.5670000000000001</v>
      </c>
      <c r="U12" s="10" t="n">
        <v>0.5012</v>
      </c>
      <c r="V12" s="11" t="n"/>
      <c r="W12" s="11">
        <f>Q12-R12</f>
        <v/>
      </c>
      <c r="X12" s="11">
        <f>Q12-E12</f>
        <v/>
      </c>
    </row>
    <row r="13">
      <c r="B13" s="1" t="inlineStr">
        <is>
          <t>mbpp</t>
        </is>
      </c>
      <c r="C13" s="9" t="n">
        <v>0.6</v>
      </c>
      <c r="D13" s="9" t="n"/>
      <c r="E13" s="9" t="n">
        <v>0.46</v>
      </c>
      <c r="F13" s="2" t="n">
        <v>0.44</v>
      </c>
      <c r="G13" s="2" t="n">
        <v>0.4</v>
      </c>
      <c r="H13" s="2" t="n"/>
      <c r="I13" s="2" t="n"/>
      <c r="J13" s="9" t="n"/>
      <c r="K13" s="9" t="n">
        <v>0.54</v>
      </c>
      <c r="L13" s="9" t="n"/>
      <c r="M13" s="9" t="n"/>
      <c r="N13" s="9" t="n"/>
      <c r="O13" s="9" t="n">
        <v>0.3</v>
      </c>
      <c r="P13" s="9" t="n">
        <v>0</v>
      </c>
      <c r="Q13" s="9" t="n">
        <v>0.48</v>
      </c>
      <c r="R13" s="10" t="n">
        <v>0.41</v>
      </c>
      <c r="S13" s="10" t="n">
        <v>0.588</v>
      </c>
      <c r="T13" s="10" t="n">
        <v>0.58</v>
      </c>
      <c r="U13" s="10" t="n">
        <v>0.61</v>
      </c>
      <c r="V13" s="11" t="n"/>
      <c r="W13" s="11">
        <f>Q13-R13</f>
        <v/>
      </c>
      <c r="X13" s="11">
        <f>Q13-E13</f>
        <v/>
      </c>
      <c r="AA13" s="7" t="n"/>
      <c r="AB13" s="7" t="n"/>
      <c r="AC13" s="7" t="n"/>
      <c r="AD13" s="7" t="n"/>
      <c r="AE13" s="7" t="n"/>
      <c r="AF13" s="7" t="n"/>
    </row>
    <row r="14">
      <c r="B14" s="1" t="inlineStr">
        <is>
          <t>mmlu</t>
        </is>
      </c>
      <c r="C14" s="9" t="n">
        <v>0.64</v>
      </c>
      <c r="D14" s="9" t="n">
        <v>0.72</v>
      </c>
      <c r="E14" s="14" t="n">
        <v>0.612</v>
      </c>
      <c r="F14" s="2" t="n">
        <v>0.64</v>
      </c>
      <c r="G14" s="2" t="n">
        <v>0.62</v>
      </c>
      <c r="H14" s="2" t="n"/>
      <c r="I14" s="2" t="n"/>
      <c r="J14" s="14" t="n">
        <v>0.5600000000000001</v>
      </c>
      <c r="K14" s="9" t="n">
        <v>0.6</v>
      </c>
      <c r="L14" s="9" t="n">
        <v>0.66</v>
      </c>
      <c r="M14" s="9" t="n">
        <v>0.6</v>
      </c>
      <c r="N14" s="9" t="n">
        <v>0.52</v>
      </c>
      <c r="O14" s="9" t="n">
        <v>0.64</v>
      </c>
      <c r="P14" s="9" t="n">
        <v>0.5</v>
      </c>
      <c r="Q14" s="9" t="n">
        <v>0.5600000000000001</v>
      </c>
      <c r="R14" s="10" t="n">
        <v>0.655</v>
      </c>
      <c r="S14" s="10" t="n">
        <v>0.67</v>
      </c>
      <c r="T14" s="10" t="n">
        <v>0.716</v>
      </c>
      <c r="U14" s="10" t="n">
        <v>0.7722</v>
      </c>
      <c r="V14" s="11" t="n"/>
      <c r="W14" s="11">
        <f>Q14-R14</f>
        <v/>
      </c>
      <c r="X14" s="11">
        <f>Q14-E14</f>
        <v/>
      </c>
      <c r="AE14" s="6" t="n"/>
      <c r="AF14" s="6" t="n"/>
      <c r="AG14" s="6" t="n"/>
    </row>
    <row r="15">
      <c r="B15" s="1" t="inlineStr">
        <is>
          <t>mmlu_pro</t>
        </is>
      </c>
      <c r="C15" s="9" t="n">
        <v>0.44</v>
      </c>
      <c r="D15" s="9" t="n">
        <v>0.46</v>
      </c>
      <c r="E15" s="14" t="n">
        <v>0.332</v>
      </c>
      <c r="F15" s="2" t="n">
        <v>0.28</v>
      </c>
      <c r="G15" s="2" t="n">
        <v>0.36</v>
      </c>
      <c r="H15" s="2" t="n"/>
      <c r="I15" s="2" t="n"/>
      <c r="J15" s="14" t="n">
        <v>0.448</v>
      </c>
      <c r="K15" s="9" t="n">
        <v>0.28</v>
      </c>
      <c r="L15" s="9" t="n">
        <v>0.4</v>
      </c>
      <c r="M15" s="9" t="n">
        <v>0.36</v>
      </c>
      <c r="N15" s="9" t="n">
        <v>0.32</v>
      </c>
      <c r="O15" s="9" t="n">
        <v>0.1</v>
      </c>
      <c r="P15" s="9" t="n">
        <v>0.18</v>
      </c>
      <c r="Q15" s="9" t="n">
        <v>0.42</v>
      </c>
      <c r="R15" s="10" t="n">
        <v>0.37</v>
      </c>
      <c r="S15" s="10" t="n">
        <v>0.433</v>
      </c>
      <c r="T15" s="10" t="n">
        <v>0.523</v>
      </c>
      <c r="U15" s="10" t="n"/>
      <c r="V15" s="11" t="n"/>
      <c r="W15" s="11">
        <f>Q15-R15</f>
        <v/>
      </c>
      <c r="X15" s="11">
        <f>Q15-E15</f>
        <v/>
      </c>
      <c r="AE15" s="6" t="n"/>
      <c r="AF15" s="6" t="n"/>
      <c r="AG15" s="6" t="n"/>
    </row>
    <row r="16"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Z16" s="6" t="n"/>
      <c r="AA16" s="6" t="n"/>
      <c r="AB16" s="6" t="n"/>
    </row>
    <row r="17">
      <c r="B17" s="7" t="inlineStr">
        <is>
          <t>Average</t>
        </is>
      </c>
      <c r="C17" s="11">
        <f>AVERAGE(C7:C15)</f>
        <v/>
      </c>
      <c r="D17" s="11" t="n"/>
      <c r="E17" s="11">
        <f>AVERAGE(E7:E15)</f>
        <v/>
      </c>
      <c r="F17" s="11">
        <f>AVERAGE(F7:F15)</f>
        <v/>
      </c>
      <c r="G17" s="11">
        <f>AVERAGE(G7:G15)</f>
        <v/>
      </c>
      <c r="H17" s="11" t="n"/>
      <c r="I17" s="11" t="n"/>
      <c r="J17" s="11" t="n"/>
      <c r="K17" s="11">
        <f>AVERAGE(K7:K15)</f>
        <v/>
      </c>
      <c r="L17" s="11" t="n"/>
      <c r="M17" s="11">
        <f>AVERAGE(M9:M15,M7)</f>
        <v/>
      </c>
      <c r="N17" s="11">
        <f>AVERAGE(N9:N15,N7)</f>
        <v/>
      </c>
      <c r="O17" s="11">
        <f>AVERAGE(O9:O15,O7)</f>
        <v/>
      </c>
      <c r="P17" s="11">
        <f>AVERAGE(P7:P15)</f>
        <v/>
      </c>
      <c r="Q17" s="11">
        <f>AVERAGE(Q7:Q15)</f>
        <v/>
      </c>
      <c r="R17" s="11">
        <f>AVERAGE(R7:R15)</f>
        <v/>
      </c>
      <c r="S17" s="11">
        <f>AVERAGE(S7,S8,S10:S15)</f>
        <v/>
      </c>
      <c r="T17" s="11">
        <f>AVERAGE(T7,T8,T10:T15)</f>
        <v/>
      </c>
      <c r="U17" s="11">
        <f>AVERAGE(U7,U8,U10:U15)</f>
        <v/>
      </c>
      <c r="V17" s="11" t="n"/>
      <c r="W17" s="11">
        <f>AVERAGE(W7:W15)</f>
        <v/>
      </c>
      <c r="X17" s="11">
        <f>AVERAGE(X7:X15)</f>
        <v/>
      </c>
    </row>
    <row r="18">
      <c r="A18" s="31" t="inlineStr">
        <is>
          <t>Perplexity (using Phi-4 14B)</t>
        </is>
      </c>
      <c r="B18" s="7" t="inlineStr">
        <is>
          <t>(128 tokens, 32 iterations)</t>
        </is>
      </c>
      <c r="C18" s="24" t="n">
        <v>14.56045341491699</v>
      </c>
      <c r="D18" s="25" t="n">
        <v>3.011403560638428</v>
      </c>
      <c r="E18" s="24" t="n">
        <v>19.38142967224121</v>
      </c>
      <c r="F18" s="24" t="n">
        <v>19.28275299072266</v>
      </c>
      <c r="G18" s="25" t="n">
        <v>12.92514324188232</v>
      </c>
      <c r="H18" s="25" t="n">
        <v>11.33413314819336</v>
      </c>
      <c r="I18" s="25" t="n">
        <v>10.13327884674072</v>
      </c>
      <c r="J18" s="24" t="n">
        <v>2.488867998123169</v>
      </c>
      <c r="K18" s="24" t="n">
        <v>20.25466156005859</v>
      </c>
      <c r="L18" s="24" t="n">
        <v>2.23036003112793</v>
      </c>
      <c r="M18" s="24" t="n">
        <v>15.45159721374512</v>
      </c>
      <c r="N18" s="24" t="n">
        <v>2.305343627929688</v>
      </c>
      <c r="O18" s="5" t="n">
        <v>9.531000000000001</v>
      </c>
      <c r="P18" s="5" t="n">
        <v>7.739</v>
      </c>
      <c r="Q18" s="24" t="n">
        <v>5.334906578063965</v>
      </c>
      <c r="R18" s="11" t="n"/>
      <c r="S18" s="11" t="n"/>
      <c r="T18" s="11" t="n"/>
      <c r="U18" s="11" t="n"/>
      <c r="V18" s="11" t="n"/>
    </row>
    <row r="19">
      <c r="B19" s="7" t="inlineStr">
        <is>
          <t>(128 tokens, 64 iterations)</t>
        </is>
      </c>
      <c r="C19" s="8" t="n">
        <v>8.016999999999999</v>
      </c>
      <c r="D19" s="8" t="n"/>
      <c r="E19" s="8" t="n">
        <v>10.503</v>
      </c>
      <c r="F19" s="5" t="n"/>
      <c r="G19" s="8" t="n">
        <v>8.709</v>
      </c>
      <c r="H19" s="8" t="n"/>
      <c r="I19" s="8" t="n"/>
      <c r="K19" s="8" t="n">
        <v>10.272</v>
      </c>
      <c r="M19" s="8" t="n">
        <v>9.423999999999999</v>
      </c>
      <c r="O19" s="5" t="n">
        <v>9.3507</v>
      </c>
      <c r="P19" s="5" t="n">
        <v>6.0549</v>
      </c>
      <c r="Q19" s="8" t="n">
        <v>4.065</v>
      </c>
      <c r="R19" s="11" t="n"/>
      <c r="S19" s="11" t="n"/>
      <c r="T19" s="11" t="n"/>
      <c r="U19" s="11" t="n"/>
      <c r="V19" s="11" t="n"/>
    </row>
    <row r="20">
      <c r="B20" s="7" t="inlineStr">
        <is>
          <t>(128 tokens, 128 iterations)</t>
        </is>
      </c>
      <c r="C20" s="15" t="n">
        <v>3.317</v>
      </c>
      <c r="D20" s="8" t="n">
        <v>3.011</v>
      </c>
      <c r="E20" s="15" t="n">
        <v>3.753</v>
      </c>
      <c r="F20" s="4" t="n">
        <v>3.72</v>
      </c>
      <c r="G20" s="4" t="n">
        <v>3.647</v>
      </c>
      <c r="H20" s="4" t="n"/>
      <c r="I20" s="4" t="n"/>
      <c r="J20" s="8" t="n">
        <v>2.521</v>
      </c>
      <c r="K20" s="15" t="n">
        <v>4.217</v>
      </c>
      <c r="L20" s="8" t="n">
        <v>2.23</v>
      </c>
      <c r="M20" s="15" t="n"/>
      <c r="N20" s="8" t="n">
        <v>2.305</v>
      </c>
      <c r="O20" s="15" t="n">
        <v>7.7111</v>
      </c>
      <c r="P20" s="15" t="n">
        <v>5.2943</v>
      </c>
      <c r="Q20" s="15" t="n">
        <v>2.763</v>
      </c>
      <c r="R20" s="12" t="n"/>
      <c r="S20" s="12" t="n"/>
      <c r="T20" s="12" t="n"/>
      <c r="U20" s="12" t="n"/>
      <c r="V20" s="11" t="n"/>
    </row>
    <row r="21">
      <c r="C21" s="5" t="n"/>
      <c r="D21" s="5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" t="n"/>
    </row>
    <row r="22">
      <c r="B22" s="26" t="inlineStr">
        <is>
          <t>Distinct-1 (model tokens)</t>
        </is>
      </c>
      <c r="C22" s="6" t="n"/>
      <c r="D22" s="6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" t="n"/>
    </row>
    <row r="23">
      <c r="B23" s="7" t="inlineStr">
        <is>
          <t>(128 tokens, 32 iterations)</t>
        </is>
      </c>
      <c r="C23" s="6" t="n">
        <v>0.4460812022098379</v>
      </c>
      <c r="D23" s="6" t="n">
        <v>0.6341145833333334</v>
      </c>
      <c r="E23" s="6" t="n">
        <v>0.4951533890047743</v>
      </c>
      <c r="F23" s="6" t="n">
        <v>0.4975392519756147</v>
      </c>
      <c r="G23" s="6" t="n">
        <v>0.3755833571863373</v>
      </c>
      <c r="H23" s="6" t="n">
        <v>0.3595875142803597</v>
      </c>
      <c r="I23" s="6" t="n">
        <v>0.3607289636739803</v>
      </c>
      <c r="J23" s="6" t="n">
        <v>0.6096354166666667</v>
      </c>
      <c r="K23" s="6" t="n">
        <v>0.4303569491443898</v>
      </c>
      <c r="L23" s="6" t="n">
        <v>0.6947916666666667</v>
      </c>
      <c r="M23" s="17" t="n">
        <v>0.4447907275890441</v>
      </c>
      <c r="N23" s="17" t="n">
        <v>0.6506356627296588</v>
      </c>
      <c r="O23" s="17" t="n"/>
      <c r="P23" s="6" t="n"/>
      <c r="Q23" s="6" t="n">
        <v>0.4518068870489012</v>
      </c>
      <c r="R23" s="1" t="n"/>
    </row>
    <row r="24">
      <c r="B24" s="7" t="inlineStr">
        <is>
          <t>(128 tokens, 64 iterations)</t>
        </is>
      </c>
      <c r="C24" s="2" t="n"/>
      <c r="D24" s="2" t="n"/>
      <c r="E24" s="2" t="n"/>
      <c r="F24" s="19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0" t="n"/>
      <c r="Q24" s="2" t="n"/>
      <c r="R24" s="2" t="n"/>
    </row>
    <row r="25">
      <c r="B25" s="7" t="inlineStr">
        <is>
          <t>(128 tokens, 128 iterations)</t>
        </is>
      </c>
      <c r="C25" s="18" t="n"/>
      <c r="D25" s="18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2" t="n"/>
      <c r="N25" s="2" t="n"/>
      <c r="O25" s="2" t="n"/>
      <c r="P25" s="19" t="n"/>
      <c r="Q25" s="19" t="n"/>
      <c r="R25" s="2" t="n"/>
    </row>
    <row r="26"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1" t="n"/>
      <c r="Q26" s="2" t="n"/>
      <c r="R26" s="2" t="n"/>
    </row>
    <row r="27">
      <c r="B27" s="26" t="inlineStr">
        <is>
          <t>Distinct-2 (model tokens)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1" t="n"/>
      <c r="Q27" s="2" t="n"/>
      <c r="R27" s="2" t="n"/>
    </row>
    <row r="28">
      <c r="B28" s="7" t="inlineStr">
        <is>
          <t>(128 tokens, 32 iterations)</t>
        </is>
      </c>
      <c r="C28" s="27" t="n">
        <v>0.7603325085933933</v>
      </c>
      <c r="D28" s="27" t="n">
        <v>0.8934383202099737</v>
      </c>
      <c r="E28" s="2" t="n">
        <v>0.7884458247990315</v>
      </c>
      <c r="F28" s="2" t="n">
        <v>0.8068841402004969</v>
      </c>
      <c r="G28" s="2" t="n">
        <v>0.6927080231533881</v>
      </c>
      <c r="H28" s="2" t="n">
        <v>0.660474341514396</v>
      </c>
      <c r="I28" s="2" t="n">
        <v>0.6502918005527495</v>
      </c>
      <c r="J28" s="2" t="n">
        <v>0.889501312335958</v>
      </c>
      <c r="K28" s="2" t="n">
        <v>0.7277229106029958</v>
      </c>
      <c r="L28" s="2" t="n">
        <v>0.9401574803149606</v>
      </c>
      <c r="M28" s="2" t="n">
        <v>0.7537872811024957</v>
      </c>
      <c r="N28" s="2" t="n">
        <v>0.9128254801483149</v>
      </c>
      <c r="O28" s="2" t="n"/>
      <c r="P28" s="1" t="n"/>
      <c r="Q28" s="2" t="n">
        <v>0.7458363992037593</v>
      </c>
      <c r="R28" s="2" t="n"/>
    </row>
    <row r="29">
      <c r="B29" s="7" t="inlineStr">
        <is>
          <t>(128 tokens, 64 iterations)</t>
        </is>
      </c>
      <c r="E29" s="2" t="n"/>
      <c r="F29" s="2" t="n"/>
      <c r="G29" s="8" t="n"/>
      <c r="H29" s="8" t="n"/>
      <c r="I29" s="8" t="n"/>
      <c r="J29" s="2" t="n"/>
      <c r="K29" s="2" t="n"/>
      <c r="L29" s="2" t="n"/>
      <c r="M29" s="2" t="n"/>
      <c r="N29" s="2" t="n"/>
      <c r="O29" s="2" t="n"/>
      <c r="P29" s="1" t="n"/>
      <c r="Q29" s="2" t="n"/>
      <c r="R29" s="2" t="n"/>
    </row>
    <row r="30">
      <c r="B30" s="7" t="inlineStr">
        <is>
          <t>(128 tokens, 128 iterations)</t>
        </is>
      </c>
      <c r="E30" s="2" t="n"/>
      <c r="F30" s="1" t="n"/>
      <c r="G30" s="1" t="n"/>
      <c r="H30" s="1" t="n"/>
      <c r="I30" s="1" t="n"/>
      <c r="J30" s="1" t="n"/>
      <c r="K30" s="1" t="n"/>
      <c r="L30" s="1" t="n"/>
      <c r="M30" s="2" t="n"/>
      <c r="N30" s="2" t="n"/>
      <c r="O30" s="2" t="n"/>
      <c r="P30" s="1" t="n"/>
      <c r="Q30" s="2" t="n"/>
      <c r="R30" s="2" t="n"/>
    </row>
    <row r="31">
      <c r="E31" s="2" t="n"/>
      <c r="F31" s="2" t="n"/>
      <c r="G31" s="8" t="n"/>
      <c r="H31" s="8" t="n"/>
      <c r="I31" s="8" t="n"/>
      <c r="J31" s="2" t="n"/>
      <c r="K31" s="2" t="n"/>
      <c r="L31" s="2" t="n"/>
      <c r="M31" s="2" t="n"/>
      <c r="N31" s="2" t="n"/>
      <c r="O31" s="2" t="n"/>
      <c r="P31" s="1" t="n"/>
      <c r="Q31" s="2" t="n"/>
      <c r="R31" s="2" t="n"/>
    </row>
    <row r="32">
      <c r="B32" s="26" t="inlineStr">
        <is>
          <t>Distinct-3 (model tokens)</t>
        </is>
      </c>
      <c r="E32" s="1" t="n"/>
      <c r="F32" s="1" t="n"/>
      <c r="G32" s="8" t="n"/>
      <c r="H32" s="8" t="n"/>
      <c r="I32" s="8" t="n"/>
      <c r="J32" s="2" t="n"/>
      <c r="K32" s="1" t="n"/>
      <c r="M32" s="2" t="n"/>
      <c r="N32" s="2" t="n"/>
      <c r="O32" s="2" t="n"/>
      <c r="P32" s="1" t="n"/>
      <c r="Q32" s="2" t="n"/>
      <c r="R32" s="2" t="n"/>
    </row>
    <row r="33">
      <c r="B33" s="7" t="inlineStr">
        <is>
          <t>(128 tokens, 32 iterations)</t>
        </is>
      </c>
      <c r="C33" s="27" t="n">
        <v>0.8755576470532694</v>
      </c>
      <c r="D33" s="27" t="n">
        <v>0.9576719576719577</v>
      </c>
      <c r="E33" s="17" t="n">
        <v>0.8988926655133317</v>
      </c>
      <c r="F33" s="17" t="n">
        <v>0.9179936081691912</v>
      </c>
      <c r="G33" s="2" t="n">
        <v>0.8441492648804232</v>
      </c>
      <c r="H33" s="2" t="n">
        <v>0.8041019150364263</v>
      </c>
      <c r="I33" s="2" t="n">
        <v>0.7892236097122933</v>
      </c>
      <c r="J33" s="2" t="n">
        <v>0.9476190476190476</v>
      </c>
      <c r="K33" s="17" t="n">
        <v>0.861950580314726</v>
      </c>
      <c r="L33" s="27" t="n">
        <v>0.985978835978836</v>
      </c>
      <c r="M33" s="27" t="n">
        <v>0.894626545952893</v>
      </c>
      <c r="N33" s="27" t="n">
        <v>0.9711555555555555</v>
      </c>
      <c r="Q33" s="27" t="n">
        <v>0.8447467723417461</v>
      </c>
    </row>
    <row r="34">
      <c r="B34" s="7" t="inlineStr">
        <is>
          <t>(128 tokens, 64 iterations)</t>
        </is>
      </c>
      <c r="E34" s="1" t="n"/>
      <c r="F34" s="1" t="n"/>
      <c r="G34" s="8" t="n"/>
      <c r="H34" s="8" t="n"/>
      <c r="I34" s="8" t="n"/>
      <c r="J34" s="2" t="n"/>
      <c r="K34" s="9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B35" s="7" t="inlineStr">
        <is>
          <t>(128 tokens, 128 iterations)</t>
        </is>
      </c>
      <c r="E35" s="1" t="n"/>
      <c r="F35" s="1" t="n"/>
      <c r="G35" s="8" t="n"/>
      <c r="H35" s="8" t="n"/>
      <c r="I35" s="8" t="n"/>
      <c r="J35" s="2" t="n"/>
      <c r="K35" s="9" t="n"/>
      <c r="L35" s="1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L36" s="1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L37" s="1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L38" s="1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L39" s="1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L40" s="1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L41" s="1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L42" s="1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2" t="n"/>
      <c r="AB42" s="2" t="n"/>
      <c r="AC42" s="2" t="n"/>
    </row>
    <row r="43">
      <c r="L43" s="1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2" t="n"/>
      <c r="AB43" s="2" t="n"/>
      <c r="AC43" s="2" t="n"/>
    </row>
    <row r="44">
      <c r="L44" s="1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2" t="n"/>
      <c r="AB44" s="2" t="n"/>
      <c r="AC44" s="2" t="n"/>
    </row>
    <row r="45">
      <c r="L45" s="1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2" t="n"/>
      <c r="AB45" s="2" t="n"/>
      <c r="AC45" s="2" t="n"/>
    </row>
    <row r="46">
      <c r="L46" s="1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2" t="n"/>
      <c r="AB46" s="2" t="n"/>
      <c r="AC46" s="2" t="n"/>
    </row>
    <row r="47">
      <c r="L47" s="1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2" t="n"/>
      <c r="AB47" s="2" t="n"/>
      <c r="AC47" s="2" t="n"/>
    </row>
    <row r="48">
      <c r="L48" s="1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2" t="n"/>
      <c r="AB48" s="2" t="n"/>
      <c r="AC48" s="2" t="n"/>
    </row>
    <row r="49">
      <c r="P49" s="2" t="n"/>
      <c r="Q49" s="1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2" t="n"/>
      <c r="AB49" s="2" t="n"/>
      <c r="AC49" s="2" t="n"/>
    </row>
    <row r="50">
      <c r="P50" s="2" t="n"/>
      <c r="Q50" s="1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2" t="n"/>
      <c r="AB50" s="2" t="n"/>
      <c r="AC50" s="2" t="n"/>
    </row>
    <row r="51">
      <c r="P51" s="2" t="n"/>
      <c r="Q51" s="1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2" t="n"/>
      <c r="AB51" s="2" t="n"/>
      <c r="AC51" s="2" t="n"/>
    </row>
    <row r="52">
      <c r="Q52" s="1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2" t="n"/>
      <c r="AB52" s="2" t="n"/>
      <c r="AC52" s="2" t="n"/>
    </row>
    <row r="53">
      <c r="Q53" s="1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2" t="n"/>
      <c r="AB53" s="2" t="n"/>
      <c r="AC53" s="2" t="n"/>
    </row>
    <row r="54">
      <c r="Q54" s="1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2" t="n"/>
      <c r="AB54" s="2" t="n"/>
      <c r="AC54" s="2" t="n"/>
    </row>
    <row r="55">
      <c r="Q55" s="1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2" t="n"/>
      <c r="AB55" s="2" t="n"/>
      <c r="AC55" s="2" t="n"/>
    </row>
    <row r="64">
      <c r="A64" s="31" t="n"/>
      <c r="B64" s="7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B65" s="7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B66" s="7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31" t="n"/>
      <c r="B67" s="7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</row>
    <row r="68">
      <c r="A68" s="31" t="n"/>
      <c r="B68" s="7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B69" s="7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B70" s="7" t="n"/>
    </row>
    <row r="71">
      <c r="A71" s="31" t="n"/>
      <c r="B71" s="7" t="n"/>
      <c r="C71" s="29" t="n"/>
    </row>
    <row r="72">
      <c r="A72" s="31" t="n"/>
      <c r="B72" s="7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8" t="n"/>
      <c r="M72" s="8" t="n"/>
      <c r="N72" s="8" t="n"/>
      <c r="O72" s="8" t="n"/>
      <c r="P72" s="8" t="n"/>
      <c r="Q72" s="8" t="n"/>
      <c r="R72" s="8" t="n"/>
      <c r="S72" s="8" t="n"/>
      <c r="T72" s="2" t="n"/>
      <c r="U72" s="2" t="n"/>
      <c r="V72" s="2" t="n"/>
    </row>
    <row r="73">
      <c r="B73" s="7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8" t="n"/>
      <c r="M73" s="8" t="n"/>
      <c r="N73" s="8" t="n"/>
      <c r="O73" s="8" t="n"/>
      <c r="P73" s="8" t="n"/>
      <c r="Q73" s="8" t="n"/>
      <c r="R73" s="8" t="n"/>
      <c r="S73" s="8" t="n"/>
      <c r="T73" s="2" t="n"/>
      <c r="U73" s="2" t="n"/>
      <c r="V73" s="2" t="n"/>
    </row>
    <row r="74">
      <c r="B74" s="7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8" t="n"/>
      <c r="M74" s="8" t="n"/>
      <c r="N74" s="8" t="n"/>
      <c r="O74" s="8" t="n"/>
      <c r="P74" s="8" t="n"/>
      <c r="Q74" s="8" t="n"/>
      <c r="R74" s="8" t="n"/>
      <c r="S74" s="8" t="n"/>
      <c r="T74" s="2" t="n"/>
      <c r="U74" s="2" t="n"/>
      <c r="V74" s="2" t="n"/>
    </row>
    <row r="75">
      <c r="A75" s="31" t="n"/>
      <c r="B75" s="7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</row>
    <row r="76">
      <c r="A76" s="31" t="n"/>
      <c r="B76" s="7" t="n"/>
      <c r="K76" s="1" t="n"/>
      <c r="L76" s="8" t="n"/>
      <c r="M76" s="8" t="n"/>
      <c r="N76" s="8" t="n"/>
      <c r="O76" s="8" t="n"/>
      <c r="P76" s="8" t="n"/>
      <c r="Q76" s="8" t="n"/>
      <c r="R76" s="8" t="n"/>
      <c r="S76" s="8" t="n"/>
      <c r="T76" s="2" t="n"/>
      <c r="U76" s="2" t="n"/>
      <c r="V76" s="2" t="n"/>
    </row>
    <row r="77">
      <c r="B77" s="7" t="n"/>
      <c r="C77" s="8" t="n"/>
      <c r="E77" s="8" t="n"/>
      <c r="K77" s="1" t="n"/>
      <c r="L77" s="8" t="n"/>
      <c r="M77" s="8" t="n"/>
      <c r="N77" s="8" t="n"/>
      <c r="O77" s="8" t="n"/>
      <c r="P77" s="8" t="n"/>
      <c r="Q77" s="8" t="n"/>
      <c r="R77" s="8" t="n"/>
      <c r="S77" s="8" t="n"/>
      <c r="T77" s="2" t="n"/>
      <c r="U77" s="2" t="n"/>
      <c r="V77" s="2" t="n"/>
    </row>
    <row r="78">
      <c r="B78" s="7" t="n"/>
      <c r="K78" s="1" t="n"/>
      <c r="L78" s="8" t="n"/>
      <c r="M78" s="8" t="n"/>
      <c r="N78" s="8" t="n"/>
      <c r="O78" s="8" t="n"/>
      <c r="P78" s="8" t="n"/>
      <c r="Q78" s="8" t="n"/>
      <c r="R78" s="8" t="n"/>
      <c r="S78" s="8" t="n"/>
      <c r="T78" s="2" t="n"/>
      <c r="U78" s="2" t="n"/>
      <c r="V78" s="2" t="n"/>
    </row>
    <row r="79">
      <c r="A79" s="31" t="n"/>
      <c r="B79" s="7" t="n"/>
      <c r="K79" s="1" t="n"/>
      <c r="L79" s="8" t="n"/>
      <c r="M79" s="8" t="n"/>
      <c r="N79" s="8" t="n"/>
      <c r="O79" s="8" t="n"/>
      <c r="P79" s="8" t="n"/>
      <c r="Q79" s="8" t="n"/>
      <c r="R79" s="8" t="n"/>
      <c r="S79" s="8" t="n"/>
      <c r="T79" s="2" t="n"/>
      <c r="U79" s="2" t="n"/>
      <c r="V79" s="2" t="n"/>
    </row>
    <row r="80">
      <c r="C80" s="22" t="n"/>
      <c r="E80" s="22" t="n"/>
      <c r="G80" s="22" t="n"/>
      <c r="H80" s="22" t="n"/>
      <c r="I80" s="22" t="n"/>
      <c r="K80" s="22" t="n"/>
      <c r="M80" s="22" t="n"/>
      <c r="O80" s="22" t="n"/>
    </row>
    <row r="81">
      <c r="A81" s="31" t="n"/>
      <c r="B81" s="7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B82" s="7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B83" s="7" t="n"/>
      <c r="C83" s="4" t="n"/>
      <c r="D83" s="4" t="n"/>
      <c r="E83" s="4" t="n"/>
      <c r="F83" s="4" t="n"/>
      <c r="G83" s="4" t="n"/>
      <c r="H83" s="4" t="n"/>
      <c r="I83" s="4" t="n"/>
      <c r="J83" s="4" t="n"/>
      <c r="K83" s="8" t="n"/>
    </row>
    <row r="84"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31" t="n"/>
      <c r="B85" s="7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B86" s="7" t="n"/>
      <c r="C86" s="5" t="n"/>
      <c r="D86" s="5" t="n"/>
      <c r="E86" s="5" t="n"/>
      <c r="F86" s="5" t="n"/>
      <c r="G86" s="5" t="n"/>
      <c r="H86" s="5" t="n"/>
      <c r="I86" s="5" t="n"/>
      <c r="J86" s="4" t="n"/>
    </row>
    <row r="87">
      <c r="B87" s="7" t="n"/>
      <c r="C87" s="4" t="n"/>
      <c r="D87" s="4" t="n"/>
      <c r="E87" s="4" t="n"/>
      <c r="F87" s="4" t="n"/>
      <c r="G87" s="4" t="n"/>
      <c r="H87" s="4" t="n"/>
      <c r="I87" s="4" t="n"/>
    </row>
    <row r="88"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31" t="n"/>
      <c r="B89" s="7" t="n"/>
      <c r="C89" s="5" t="n"/>
      <c r="D89" s="5" t="n"/>
      <c r="E89" s="5" t="n"/>
      <c r="F89" s="5" t="n"/>
      <c r="G89" s="5" t="n"/>
      <c r="H89" s="5" t="n"/>
      <c r="I89" s="5" t="n"/>
      <c r="J89" s="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B90" s="7" t="n"/>
      <c r="C90" s="5" t="n"/>
      <c r="D90" s="5" t="n"/>
      <c r="E90" s="5" t="n"/>
      <c r="F90" s="5" t="n"/>
      <c r="G90" s="5" t="n"/>
      <c r="H90" s="5" t="n"/>
      <c r="I90" s="5" t="n"/>
      <c r="J90" s="5" t="n"/>
      <c r="K90" s="1" t="n"/>
      <c r="L90" s="8" t="n"/>
      <c r="M90" s="8" t="n"/>
      <c r="N90" s="8" t="n"/>
      <c r="O90" s="8" t="n"/>
      <c r="P90" s="8" t="n"/>
      <c r="Q90" s="8" t="n"/>
      <c r="R90" s="8" t="n"/>
      <c r="S90" s="8" t="n"/>
      <c r="T90" s="2" t="n"/>
      <c r="U90" s="2" t="n"/>
      <c r="V90" s="2" t="n"/>
    </row>
    <row r="91">
      <c r="B91" s="7" t="n"/>
      <c r="C91" s="5" t="n"/>
      <c r="D91" s="5" t="n"/>
      <c r="E91" s="5" t="n"/>
      <c r="F91" s="5" t="n"/>
      <c r="G91" s="5" t="n"/>
      <c r="H91" s="5" t="n"/>
      <c r="I91" s="5" t="n"/>
      <c r="J91" s="5" t="n"/>
      <c r="K91" s="1" t="n"/>
      <c r="L91" s="8" t="n"/>
      <c r="M91" s="8" t="n"/>
      <c r="N91" s="8" t="n"/>
      <c r="O91" s="8" t="n"/>
      <c r="P91" s="8" t="n"/>
      <c r="Q91" s="8" t="n"/>
      <c r="R91" s="8" t="n"/>
      <c r="S91" s="8" t="n"/>
      <c r="T91" s="2" t="n"/>
      <c r="U91" s="2" t="n"/>
      <c r="V91" s="2" t="n"/>
    </row>
    <row r="92">
      <c r="K92" s="1" t="n"/>
      <c r="L92" s="8" t="n"/>
      <c r="M92" s="8" t="n"/>
      <c r="N92" s="8" t="n"/>
      <c r="O92" s="8" t="n"/>
      <c r="P92" s="8" t="n"/>
      <c r="Q92" s="8" t="n"/>
      <c r="R92" s="8" t="n"/>
      <c r="S92" s="8" t="n"/>
      <c r="T92" s="2" t="n"/>
      <c r="U92" s="2" t="n"/>
      <c r="V92" s="2" t="n"/>
    </row>
    <row r="93">
      <c r="K93" s="1" t="n"/>
      <c r="L93" s="8" t="n"/>
      <c r="M93" s="8" t="n"/>
      <c r="N93" s="8" t="n"/>
      <c r="O93" s="8" t="n"/>
      <c r="P93" s="8" t="n"/>
      <c r="Q93" s="8" t="n"/>
      <c r="R93" s="8" t="n"/>
      <c r="S93" s="8" t="n"/>
      <c r="T93" s="2" t="n"/>
      <c r="U93" s="2" t="n"/>
      <c r="V93" s="2" t="n"/>
    </row>
    <row r="94">
      <c r="K94" s="1" t="n"/>
      <c r="L94" s="8" t="n"/>
      <c r="M94" s="8" t="n"/>
      <c r="N94" s="8" t="n"/>
      <c r="O94" s="8" t="n"/>
      <c r="P94" s="8" t="n"/>
      <c r="Q94" s="8" t="n"/>
      <c r="R94" s="8" t="n"/>
      <c r="S94" s="8" t="n"/>
      <c r="T94" s="2" t="n"/>
      <c r="U94" s="2" t="n"/>
      <c r="V94" s="2" t="n"/>
    </row>
  </sheetData>
  <mergeCells count="9">
    <mergeCell ref="C71:K71"/>
    <mergeCell ref="A76:A78"/>
    <mergeCell ref="A72:A74"/>
    <mergeCell ref="A64:A66"/>
    <mergeCell ref="A85:A87"/>
    <mergeCell ref="A81:A83"/>
    <mergeCell ref="A89:A91"/>
    <mergeCell ref="A18:A20"/>
    <mergeCell ref="A68:A70"/>
  </mergeCells>
  <conditionalFormatting sqref="C1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E7 J7:Q7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E8 J8:Q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E8 J8:U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9 J9:Q9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E9 J9:U9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E10 J10:Q1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E10 J10:U1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E11 J11:Q11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E11 J11:U1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E12 J12:Q12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E12 J12:U1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E13 J13:Q1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E13 J13:U13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E14 J14:Q14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E14 J14:U1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15 J15:Q1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:E15 J15:U15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I19 J20 K19 L20 M19 N20 O19:Q1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J8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K64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K66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:K65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:K66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K68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K69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K7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K73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K74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6:O86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Q17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Q2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U17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:D2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I1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5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X48 X50:X5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:X5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9:X50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 E18 G18:I18 K18 M1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 E23 G23 K23 M23 Q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 E23 G23:I23 K23 M23 Q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 E28 G28:I28 K28 M28 Q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 E33 G33:I33 K33 M33 Q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O16"/>
  <sheetViews>
    <sheetView workbookViewId="0">
      <selection activeCell="C29" sqref="C29"/>
    </sheetView>
  </sheetViews>
  <sheetFormatPr baseColWidth="10" defaultRowHeight="16"/>
  <cols>
    <col width="24.83203125" bestFit="1" customWidth="1" style="32" min="2" max="2"/>
  </cols>
  <sheetData>
    <row r="3" ht="18" customHeight="1" s="32">
      <c r="A3" s="30" t="n"/>
      <c r="B3" s="30" t="n"/>
      <c r="C3" s="30" t="n"/>
      <c r="D3" s="30" t="n"/>
      <c r="E3" s="30" t="n"/>
      <c r="F3" s="1" t="n"/>
      <c r="G3" s="2" t="n"/>
      <c r="H3" s="2" t="n"/>
      <c r="I3" s="2" t="n"/>
      <c r="J3" s="2" t="n"/>
      <c r="K3" s="2" t="n"/>
      <c r="L3" s="2" t="n"/>
      <c r="M3" s="30" t="n"/>
      <c r="N3" s="30" t="n"/>
      <c r="O3" s="30" t="inlineStr">
        <is>
          <t>temp = 0.7</t>
        </is>
      </c>
    </row>
    <row r="4" ht="18" customHeight="1" s="32">
      <c r="A4" s="30" t="n"/>
      <c r="B4" s="30" t="inlineStr">
        <is>
          <t>Training iterations</t>
        </is>
      </c>
      <c r="C4" s="22" t="n">
        <v>1000</v>
      </c>
      <c r="D4" s="22" t="n">
        <v>5000</v>
      </c>
      <c r="E4" s="22" t="n">
        <v>10000</v>
      </c>
      <c r="F4" s="23" t="n">
        <v>15000</v>
      </c>
      <c r="G4" s="23" t="n">
        <v>20000</v>
      </c>
      <c r="H4" s="23" t="n">
        <v>25000</v>
      </c>
      <c r="I4" s="23" t="n">
        <v>30000</v>
      </c>
      <c r="J4" s="23" t="n">
        <v>35000</v>
      </c>
      <c r="K4" s="23" t="n">
        <v>40000</v>
      </c>
      <c r="L4" s="23" t="n">
        <v>45000</v>
      </c>
      <c r="M4" s="23" t="n">
        <v>50000</v>
      </c>
      <c r="N4" s="30" t="n"/>
      <c r="O4" s="30" t="n">
        <v>0</v>
      </c>
    </row>
    <row r="5" ht="18" customHeight="1" s="32">
      <c r="A5" s="30" t="n"/>
      <c r="B5" s="30" t="inlineStr">
        <is>
          <t>128 tokens generated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30" t="n"/>
      <c r="N5" s="30" t="n"/>
      <c r="O5" s="30" t="n"/>
    </row>
    <row r="6" ht="18" customHeight="1" s="32">
      <c r="A6" s="31" t="inlineStr">
        <is>
          <t>Phi-4 14B</t>
        </is>
      </c>
      <c r="B6" s="7" t="inlineStr">
        <is>
          <t>LAD-Llama (32 it.)</t>
        </is>
      </c>
      <c r="C6" s="5" t="n">
        <v>15.5018</v>
      </c>
      <c r="D6" s="5" t="n"/>
      <c r="E6" s="5" t="n">
        <v>23.138</v>
      </c>
      <c r="F6" s="5" t="n"/>
      <c r="G6" s="5" t="n">
        <v>17.091</v>
      </c>
      <c r="H6" s="5" t="n"/>
      <c r="I6" s="5" t="n">
        <v>14.7366</v>
      </c>
      <c r="J6" s="5" t="n"/>
      <c r="K6" s="5" t="n">
        <v>17.2013</v>
      </c>
      <c r="L6" s="5" t="n"/>
      <c r="M6" s="5" t="n">
        <v>16.7965</v>
      </c>
      <c r="N6" s="30" t="inlineStr">
        <is>
          <t>LlaDa (32 it.)</t>
        </is>
      </c>
      <c r="O6" s="5" t="n">
        <v>5.3349</v>
      </c>
    </row>
    <row r="7" ht="18" customHeight="1" s="32">
      <c r="B7" s="7" t="inlineStr">
        <is>
          <t>LAD-Llama (64 it.)</t>
        </is>
      </c>
      <c r="C7" s="5" t="n">
        <v>10.256</v>
      </c>
      <c r="D7" s="5" t="n"/>
      <c r="E7" s="5" t="n">
        <v>10.015</v>
      </c>
      <c r="F7" s="5" t="n"/>
      <c r="G7" s="5" t="n">
        <v>9.646000000000001</v>
      </c>
      <c r="H7" s="5" t="n"/>
      <c r="I7" s="5" t="n">
        <v>9.839</v>
      </c>
      <c r="J7" s="5" t="n"/>
      <c r="K7" s="5" t="n">
        <v>8.715999999999999</v>
      </c>
      <c r="L7" s="5" t="n"/>
      <c r="M7" s="5" t="n">
        <v>8.382</v>
      </c>
      <c r="N7" s="30" t="inlineStr">
        <is>
          <t>LlaDa (64 it.)</t>
        </is>
      </c>
      <c r="O7" s="5" t="n">
        <v>4.065</v>
      </c>
    </row>
    <row r="8" ht="18" customHeight="1" s="32">
      <c r="B8" s="7" t="inlineStr">
        <is>
          <t>LAD-Llama (128 it.)</t>
        </is>
      </c>
      <c r="C8" s="5" t="n">
        <v>5.7954</v>
      </c>
      <c r="D8" s="5" t="n"/>
      <c r="E8" s="5" t="n">
        <v>5.2868</v>
      </c>
      <c r="F8" s="5" t="n"/>
      <c r="G8" s="5" t="n">
        <v>4.7627</v>
      </c>
      <c r="H8" s="5" t="n"/>
      <c r="I8" s="5" t="n">
        <v>4.6642</v>
      </c>
      <c r="J8" s="5" t="n"/>
      <c r="K8" s="5" t="n">
        <v>4.4202</v>
      </c>
      <c r="L8" s="5" t="n"/>
      <c r="M8" s="5" t="n">
        <v>4.8757</v>
      </c>
      <c r="N8" s="30" t="inlineStr">
        <is>
          <t>LlaDa (128 it.)</t>
        </is>
      </c>
      <c r="O8" s="15" t="n">
        <v>2.7948</v>
      </c>
    </row>
    <row r="9" ht="18" customHeight="1" s="32">
      <c r="A9" s="30" t="n"/>
      <c r="B9" s="30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30" t="n"/>
      <c r="N9" s="30" t="n"/>
      <c r="O9" s="30" t="n"/>
    </row>
    <row r="10" ht="18" customHeight="1" s="32">
      <c r="A10" s="30" t="n"/>
      <c r="B10" s="30" t="inlineStr">
        <is>
          <t>Training iterations</t>
        </is>
      </c>
      <c r="C10" s="22" t="n">
        <v>1000</v>
      </c>
      <c r="D10" s="22" t="n">
        <v>5000</v>
      </c>
      <c r="E10" s="22" t="n">
        <v>10000</v>
      </c>
      <c r="F10" s="23" t="n">
        <v>15000</v>
      </c>
      <c r="G10" s="23" t="n">
        <v>20000</v>
      </c>
      <c r="H10" s="23" t="n">
        <v>25000</v>
      </c>
      <c r="I10" s="23" t="n">
        <v>30000</v>
      </c>
      <c r="J10" s="23" t="n">
        <v>35000</v>
      </c>
      <c r="K10" s="23" t="n">
        <v>40000</v>
      </c>
      <c r="L10" s="23" t="n">
        <v>45000</v>
      </c>
      <c r="M10" s="23" t="n">
        <v>50000</v>
      </c>
      <c r="N10" s="30" t="n"/>
      <c r="O10" s="30" t="n">
        <v>60000</v>
      </c>
    </row>
    <row r="11" ht="18" customHeight="1" s="32">
      <c r="A11" s="30" t="n"/>
      <c r="B11" s="30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30" t="n"/>
      <c r="N11" s="30" t="n"/>
      <c r="O11" s="30" t="n"/>
    </row>
    <row r="12" ht="18" customHeight="1" s="32">
      <c r="A12" s="31" t="inlineStr">
        <is>
          <t>Phi-4 14B</t>
        </is>
      </c>
      <c r="B12" s="7" t="inlineStr">
        <is>
          <t>LAD-Gemma (32 it.)</t>
        </is>
      </c>
      <c r="C12" s="5" t="n">
        <v>19.2063</v>
      </c>
      <c r="D12" s="5" t="n">
        <v>13.2354</v>
      </c>
      <c r="E12" s="5" t="n">
        <v>11.547</v>
      </c>
      <c r="F12" s="5" t="n">
        <v>12.4133</v>
      </c>
      <c r="G12" s="5" t="n">
        <v>10.3984</v>
      </c>
      <c r="H12" s="5" t="n">
        <v>11.6882</v>
      </c>
      <c r="I12" s="5" t="n"/>
      <c r="J12" s="5" t="n"/>
      <c r="K12" s="5" t="n"/>
      <c r="L12" s="5" t="n"/>
      <c r="M12" s="5" t="n"/>
      <c r="N12" s="30" t="n"/>
      <c r="O12" s="30" t="n"/>
    </row>
    <row r="13" ht="18" customHeight="1" s="32">
      <c r="B13" s="7" t="inlineStr">
        <is>
          <t>LAD-Gemma (64 it.)</t>
        </is>
      </c>
      <c r="C13" s="5" t="n">
        <v>10.387</v>
      </c>
      <c r="D13" s="5" t="n">
        <v>7.5059</v>
      </c>
      <c r="E13" s="5" t="n">
        <v>7.9411</v>
      </c>
      <c r="F13" s="5" t="n">
        <v>6.746</v>
      </c>
      <c r="G13" s="5" t="n">
        <v>6.7505</v>
      </c>
      <c r="H13" s="5" t="n">
        <v>7.8263</v>
      </c>
      <c r="I13" s="5" t="n"/>
      <c r="J13" s="5" t="n"/>
      <c r="K13" s="5" t="n"/>
      <c r="L13" s="5" t="n"/>
      <c r="M13" s="5" t="n"/>
      <c r="N13" s="30" t="n"/>
      <c r="O13" s="30" t="n"/>
    </row>
    <row r="14" ht="18" customHeight="1" s="32">
      <c r="B14" s="7" t="inlineStr">
        <is>
          <t>LAD-Gemma (128 it.)</t>
        </is>
      </c>
      <c r="C14" s="5" t="n">
        <v>5.8516</v>
      </c>
      <c r="D14" s="5" t="n">
        <v>4.4569</v>
      </c>
      <c r="E14" s="5" t="n">
        <v>4.3131</v>
      </c>
      <c r="F14" s="5" t="n">
        <v>3.4537</v>
      </c>
      <c r="G14" s="5" t="n">
        <v>3.9409</v>
      </c>
      <c r="H14" s="5" t="n">
        <v>3.8718</v>
      </c>
      <c r="I14" s="5" t="n"/>
      <c r="J14" s="5" t="n"/>
      <c r="K14" s="5" t="n"/>
      <c r="L14" s="5" t="n"/>
      <c r="M14" s="5" t="n"/>
      <c r="N14" s="30" t="n"/>
      <c r="O14" s="30" t="n"/>
    </row>
    <row r="15" ht="18" customHeight="1" s="32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</row>
    <row r="16" ht="18" customHeight="1" s="32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</row>
  </sheetData>
  <mergeCells count="2">
    <mergeCell ref="A6:A8"/>
    <mergeCell ref="A12:A14"/>
  </mergeCells>
  <conditionalFormatting sqref="C12:H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H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H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M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M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M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6"/>
  <cols>
    <col width="34" customWidth="1" style="32" min="1" max="1"/>
    <col width="110" customWidth="1" style="32" min="2" max="2"/>
  </cols>
  <sheetData>
    <row r="1">
      <c r="A1" s="28" t="inlineStr">
        <is>
          <t>Field</t>
        </is>
      </c>
      <c r="B1" s="28" t="inlineStr">
        <is>
          <t>Value</t>
        </is>
      </c>
    </row>
    <row r="2">
      <c r="A2" t="inlineStr">
        <is>
          <t>Run ID</t>
        </is>
      </c>
      <c r="B2" t="inlineStr">
        <is>
          <t>20260918T112818.173051Z--colab-validation</t>
        </is>
      </c>
    </row>
    <row r="3">
      <c r="A3" t="inlineStr">
        <is>
          <t>Started UTC</t>
        </is>
      </c>
      <c r="B3" t="inlineStr">
        <is>
          <t>2026-09-18T11:28:18.173051+00:00</t>
        </is>
      </c>
    </row>
    <row r="4">
      <c r="A4" t="inlineStr">
        <is>
          <t>Completed UTC</t>
        </is>
      </c>
      <c r="B4" t="inlineStr">
        <is>
          <t>2026-09-18T11:59:45.179621+00:00</t>
        </is>
      </c>
    </row>
    <row r="5">
      <c r="A5" t="inlineStr">
        <is>
          <t>Source summary</t>
        </is>
      </c>
      <c r="B5" t="inlineStr">
        <is>
          <t>/Users/rkuiper/Library/CloudStorage/GoogleDrive-ruurd.kuiper@gmail.com/My Drive/lad-generic-results/validation/benchmark_runs/20260918T112818.173051Z--colab-validation/summary.json</t>
        </is>
      </c>
    </row>
    <row r="6">
      <c r="A6" t="inlineStr">
        <is>
          <t>Output length</t>
        </is>
      </c>
      <c r="B6" t="n">
        <v>128</v>
      </c>
    </row>
    <row r="7">
      <c r="A7" t="inlineStr">
        <is>
          <t>Diffusion iterations</t>
        </is>
      </c>
      <c r="B7" t="n">
        <v>32</v>
      </c>
    </row>
    <row r="8">
      <c r="A8" t="inlineStr">
        <is>
          <t>Perplexity statistic</t>
        </is>
      </c>
      <c r="B8" t="inlineStr">
        <is>
          <t>Token-weighted perplexity = exp(total NLL / total scored tokens)</t>
        </is>
      </c>
    </row>
    <row r="9">
      <c r="A9" t="inlineStr">
        <is>
          <t>Distinct metrics</t>
        </is>
      </c>
      <c r="B9" t="inlineStr">
        <is>
          <t>Mean per-answer sliding Distinct-n over model-tokenizer tokens</t>
        </is>
      </c>
    </row>
    <row r="10">
      <c r="A10" t="inlineStr">
        <is>
          <t>Perplexity scorer</t>
        </is>
      </c>
      <c r="B10" t="inlineStr">
        <is>
          <t>microsoft/phi-4</t>
        </is>
      </c>
    </row>
    <row r="11">
      <c r="A11" t="inlineStr">
        <is>
          <t>Prompts per result</t>
        </is>
      </c>
      <c r="B11" t="n">
        <v>30</v>
      </c>
    </row>
    <row r="13">
      <c r="A13" t="inlineStr">
        <is>
          <t>Merged-model run ID</t>
        </is>
      </c>
      <c r="B13" t="inlineStr">
        <is>
          <t>20260918T123901.774999Z--colab-validation</t>
        </is>
      </c>
    </row>
    <row r="14">
      <c r="A14" t="inlineStr">
        <is>
          <t>Merged-model started UTC</t>
        </is>
      </c>
      <c r="B14" t="inlineStr">
        <is>
          <t>2026-09-18T12:39:01.774999+00:00</t>
        </is>
      </c>
    </row>
    <row r="15">
      <c r="A15" t="inlineStr">
        <is>
          <t>Merged-model completed UTC</t>
        </is>
      </c>
      <c r="B15" t="inlineStr">
        <is>
          <t>2026-09-18T12:43:38.360970+00:00</t>
        </is>
      </c>
    </row>
    <row r="16">
      <c r="A16" t="inlineStr">
        <is>
          <t>Merged-model source summary</t>
        </is>
      </c>
      <c r="B16" t="inlineStr">
        <is>
          <t>/Users/rkuiper/Library/CloudStorage/GoogleDrive-ruurd.kuiper@gmail.com/My Drive/lad-generic-results/validation/benchmark_runs/20260918T123901.774999Z--colab-validation/summary.json</t>
        </is>
      </c>
    </row>
    <row r="17">
      <c r="A17" t="inlineStr">
        <is>
          <t>Merged checkpoint</t>
        </is>
      </c>
      <c r="B17" t="inlineStr">
        <is>
          <t>merged:/content/drive/MyDrive/lad-generic-results/merged/llama-3.1-8b-mask</t>
        </is>
      </c>
    </row>
    <row r="18">
      <c r="A18" t="inlineStr">
        <is>
          <t>Matched adapter result</t>
        </is>
      </c>
      <c r="B18" t="inlineStr">
        <is>
          <t>20260918T112818.173051Z--colab-validation; llama-3.1-8b-mask/best</t>
        </is>
      </c>
    </row>
    <row r="19">
      <c r="A19" t="inlineStr">
        <is>
          <t>Merged token-weighted perplexity</t>
        </is>
      </c>
      <c r="B19" t="n">
        <v>19.28275299072266</v>
      </c>
    </row>
    <row r="20">
      <c r="A20" t="inlineStr">
        <is>
          <t>Merged mean Distinct-1</t>
        </is>
      </c>
      <c r="B20" t="n">
        <v>0.4975392519756147</v>
      </c>
    </row>
    <row r="21">
      <c r="A21" t="inlineStr">
        <is>
          <t>Merged mean Distinct-2</t>
        </is>
      </c>
      <c r="B21" t="n">
        <v>0.8068841402004969</v>
      </c>
    </row>
    <row r="22">
      <c r="A22" t="inlineStr">
        <is>
          <t>Merged mean Distinct-3</t>
        </is>
      </c>
      <c r="B22" t="n">
        <v>0.9179936081691912</v>
      </c>
    </row>
    <row r="23">
      <c r="A23" t="inlineStr">
        <is>
          <t>Merge comparison settings</t>
        </is>
      </c>
      <c r="B23" t="inlineStr">
        <is>
          <t>30 prompts; 128 output tokens; 32 iterations; seed 1234; temperature 0.7; Phi-4 scorer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Kuiper, R.J.A. (Ruurd)</dc:creator>
  <dcterms:created xmlns:dcterms="http://purl.org/dc/terms/" xmlns:xsi="http://www.w3.org/2001/XMLSchema-instance" xsi:type="dcterms:W3CDTF">2026-08-17T14:43:43Z</dcterms:created>
  <dcterms:modified xmlns:dcterms="http://purl.org/dc/terms/" xmlns:xsi="http://www.w3.org/2001/XMLSchema-instance" xsi:type="dcterms:W3CDTF">2026-09-18T13:13:31Z</dcterms:modified>
  <cp:lastModifiedBy>Kuiper, R.J.A. (Ruurd)</cp:lastModifiedBy>
</cp:coreProperties>
</file>