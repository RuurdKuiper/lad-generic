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kuiper/Documents/Code/lad-generic/results/"/>
    </mc:Choice>
  </mc:AlternateContent>
  <xr:revisionPtr revIDLastSave="0" documentId="13_ncr:1_{9698DC75-130D-DC4E-84D3-10CDA231B1E2}" xr6:coauthVersionLast="47" xr6:coauthVersionMax="47" xr10:uidLastSave="{00000000-0000-0000-0000-000000000000}"/>
  <bookViews>
    <workbookView xWindow="0" yWindow="680" windowWidth="30240" windowHeight="16980" xr2:uid="{00000000-000D-0000-FFFF-FFFF00000000}"/>
  </bookViews>
  <sheets>
    <sheet name="Primary outcomes" sheetId="1" r:id="rId1"/>
    <sheet name="Training progresion" sheetId="2" r:id="rId2"/>
    <sheet name="Import provenance" sheetId="3" r:id="rId3"/>
    <sheet name="Long validation loss" sheetId="4" r:id="rId4"/>
  </sheets>
  <definedNames>
    <definedName name="_xlnm._FilterDatabase" localSheetId="3" hidden="1">'Long validation loss'!$A$1:$E$101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H17" i="1"/>
  <c r="I17" i="1"/>
  <c r="J17" i="1"/>
  <c r="K17" i="1"/>
  <c r="L17" i="1"/>
  <c r="M17" i="1"/>
  <c r="N17" i="1"/>
  <c r="O17" i="1"/>
  <c r="T26" i="1"/>
  <c r="T27" i="1"/>
  <c r="T28" i="1"/>
  <c r="T29" i="1"/>
  <c r="T30" i="1"/>
  <c r="T31" i="1"/>
  <c r="T32" i="1"/>
  <c r="T24" i="1"/>
  <c r="T25" i="1"/>
  <c r="S25" i="1"/>
  <c r="S26" i="1"/>
  <c r="S27" i="1"/>
  <c r="S28" i="1"/>
  <c r="S29" i="1"/>
  <c r="S30" i="1"/>
  <c r="S31" i="1"/>
  <c r="S32" i="1"/>
  <c r="S24" i="1"/>
  <c r="T17" i="1"/>
  <c r="S17" i="1"/>
  <c r="R17" i="1"/>
  <c r="Q17" i="1"/>
  <c r="P17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W7" i="1"/>
  <c r="V7" i="1"/>
  <c r="W17" i="1" l="1"/>
  <c r="V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 Codex</author>
  </authors>
  <commentList>
    <comment ref="E7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104/125 correct (0.832).</t>
        </r>
      </text>
    </comment>
    <comment ref="F7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105/125 correct (0.840).</t>
        </r>
      </text>
    </comment>
    <comment ref="G7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99/125 correct (0.792).</t>
        </r>
      </text>
    </comment>
    <comment ref="K7" authorId="0" shapeId="0" xr:uid="{00000000-0006-0000-0000-000004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99/125 correct (0.792).</t>
        </r>
      </text>
    </comment>
    <comment ref="P7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108/125 correct (0.864).</t>
        </r>
      </text>
    </comment>
    <comment ref="E8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37/125 correct (0.296).</t>
        </r>
      </text>
    </comment>
    <comment ref="F8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38/125 correct (0.304).</t>
        </r>
      </text>
    </comment>
    <comment ref="G8" authorId="0" shapeId="0" xr:uid="{00000000-0006-0000-0000-000008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34/125 correct (0.272).</t>
        </r>
      </text>
    </comment>
    <comment ref="K8" authorId="0" shapeId="0" xr:uid="{00000000-0006-0000-0000-000009000000}">
      <text>
        <r>
          <rPr>
            <sz val="12"/>
            <color rgb="FF000000"/>
            <rFont val="Aptos Narrow"/>
            <family val="2"/>
          </rPr>
          <t>Imported from incomplete run 20260921T170118.455805Z--colab-validation: 40/125 correct (0.320).</t>
        </r>
      </text>
    </comment>
    <comment ref="P8" authorId="0" shapeId="0" xr:uid="{00000000-0006-0000-0000-00000A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39/125 correct (0.312).</t>
        </r>
      </text>
    </comment>
    <comment ref="E9" authorId="0" shapeId="0" xr:uid="{00000000-0006-0000-0000-00000B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82/125 correct (0.656).</t>
        </r>
      </text>
    </comment>
    <comment ref="F9" authorId="0" shapeId="0" xr:uid="{00000000-0006-0000-0000-00000C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79/125 correct (0.632).</t>
        </r>
      </text>
    </comment>
    <comment ref="G9" authorId="0" shapeId="0" xr:uid="{00000000-0006-0000-0000-00000D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70/125 correct (0.560).</t>
        </r>
      </text>
    </comment>
    <comment ref="K9" authorId="0" shapeId="0" xr:uid="{00000000-0006-0000-0000-00000E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108/125 correct (0.864).</t>
        </r>
      </text>
    </comment>
    <comment ref="P9" authorId="0" shapeId="0" xr:uid="{00000000-0006-0000-0000-00000F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81/125 correct (0.648).</t>
        </r>
      </text>
    </comment>
    <comment ref="E10" authorId="0" shapeId="0" xr:uid="{00000000-0006-0000-0000-000010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88/125 correct (0.704).</t>
        </r>
      </text>
    </comment>
    <comment ref="F10" authorId="0" shapeId="0" xr:uid="{00000000-0006-0000-0000-000011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87/125 correct (0.696).</t>
        </r>
      </text>
    </comment>
    <comment ref="G10" authorId="0" shapeId="0" xr:uid="{00000000-0006-0000-0000-000012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86/125 correct (0.688).</t>
        </r>
      </text>
    </comment>
    <comment ref="K10" authorId="0" shapeId="0" xr:uid="{00000000-0006-0000-0000-000013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76/125 correct (0.608).</t>
        </r>
      </text>
    </comment>
    <comment ref="P10" authorId="0" shapeId="0" xr:uid="{00000000-0006-0000-0000-000014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87/125 correct (0.696).</t>
        </r>
      </text>
    </comment>
    <comment ref="E11" authorId="0" shapeId="0" xr:uid="{00000000-0006-0000-0000-000015000000}">
      <text>
        <r>
          <rPr>
            <sz val="12"/>
            <color rgb="FF000000"/>
            <rFont val="Aptos Narrow"/>
            <family val="2"/>
          </rPr>
          <t>Imported from incomplete run 20260921T170118.455805Z--colab-validation: 39/125 correct (0.312).</t>
        </r>
      </text>
    </comment>
    <comment ref="F11" authorId="0" shapeId="0" xr:uid="{00000000-0006-0000-0000-000016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37/125 correct (0.296).</t>
        </r>
      </text>
    </comment>
    <comment ref="G11" authorId="0" shapeId="0" xr:uid="{00000000-0006-0000-0000-000017000000}">
      <text>
        <r>
          <rPr>
            <sz val="12"/>
            <color rgb="FF000000"/>
            <rFont val="Aptos Narrow"/>
            <family val="2"/>
          </rPr>
          <t>Imported from incomplete run 20260921T170118.455805Z--colab-validation: 42/125 correct (0.336).</t>
        </r>
      </text>
    </comment>
    <comment ref="K11" authorId="0" shapeId="0" xr:uid="{00000000-0006-0000-0000-000018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70/125 correct (0.560).</t>
        </r>
      </text>
    </comment>
    <comment ref="P11" authorId="0" shapeId="0" xr:uid="{00000000-0006-0000-0000-000019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50/125 correct (0.400).</t>
        </r>
      </text>
    </comment>
    <comment ref="E12" authorId="0" shapeId="0" xr:uid="{00000000-0006-0000-0000-00001A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32/125 correct (0.256).</t>
        </r>
      </text>
    </comment>
    <comment ref="F12" authorId="0" shapeId="0" xr:uid="{00000000-0006-0000-0000-00001B000000}">
      <text>
        <r>
          <rPr>
            <sz val="12"/>
            <color rgb="FF000000"/>
            <rFont val="Aptos Narrow"/>
            <family val="2"/>
          </rPr>
          <t>Imported from incomplete run 20260921T170118.455805Z--colab-validation: 31/125 correct (0.248).</t>
        </r>
      </text>
    </comment>
    <comment ref="G12" authorId="0" shapeId="0" xr:uid="{00000000-0006-0000-0000-00001C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27/125 correct (0.216).</t>
        </r>
      </text>
    </comment>
    <comment ref="K12" authorId="0" shapeId="0" xr:uid="{00000000-0006-0000-0000-00001D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60/125 correct (0.480).</t>
        </r>
      </text>
    </comment>
    <comment ref="P12" authorId="0" shapeId="0" xr:uid="{00000000-0006-0000-0000-00001E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43/125 correct (0.344).</t>
        </r>
      </text>
    </comment>
    <comment ref="E13" authorId="0" shapeId="0" xr:uid="{00000000-0006-0000-0000-00001F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54/125 correct (0.432).</t>
        </r>
      </text>
    </comment>
    <comment ref="F13" authorId="0" shapeId="0" xr:uid="{00000000-0006-0000-0000-000020000000}">
      <text>
        <r>
          <rPr>
            <sz val="12"/>
            <color rgb="FF000000"/>
            <rFont val="Aptos Narrow"/>
            <family val="2"/>
          </rPr>
          <t>Imported from incomplete run 20260921T170118.455805Z--colab-validation: 52/125 correct (0.416).</t>
        </r>
      </text>
    </comment>
    <comment ref="G13" authorId="0" shapeId="0" xr:uid="{00000000-0006-0000-0000-000021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64/125 correct (0.512).</t>
        </r>
      </text>
    </comment>
    <comment ref="K13" authorId="0" shapeId="0" xr:uid="{00000000-0006-0000-0000-000022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89/125 correct (0.712).</t>
        </r>
      </text>
    </comment>
    <comment ref="P13" authorId="0" shapeId="0" xr:uid="{00000000-0006-0000-0000-000023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53/125 correct (0.424).</t>
        </r>
      </text>
    </comment>
    <comment ref="C14" authorId="0" shapeId="0" xr:uid="{00000000-0006-0000-0000-000024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86/125 correct (0.688).</t>
        </r>
      </text>
    </comment>
    <comment ref="D14" authorId="0" shapeId="0" xr:uid="{00000000-0006-0000-0000-000025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81/125 correct (0.648).</t>
        </r>
      </text>
    </comment>
    <comment ref="E14" authorId="0" shapeId="0" xr:uid="{00000000-0006-0000-0000-000026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74/125 correct (0.592).</t>
        </r>
      </text>
    </comment>
    <comment ref="F14" authorId="0" shapeId="0" xr:uid="{00000000-0006-0000-0000-000027000000}">
      <text>
        <r>
          <rPr>
            <sz val="12"/>
            <color rgb="FF000000"/>
            <rFont val="Aptos Narrow"/>
            <family val="2"/>
          </rPr>
          <t>Imported from incomplete run 20260921T170118.455805Z--colab-validation: 76/125 correct (0.608).</t>
        </r>
      </text>
    </comment>
    <comment ref="G14" authorId="0" shapeId="0" xr:uid="{00000000-0006-0000-0000-000028000000}">
      <text>
        <r>
          <rPr>
            <sz val="12"/>
            <color rgb="FF000000"/>
            <rFont val="Aptos Narrow"/>
            <family val="2"/>
          </rPr>
          <t>Imported from incomplete run 20260921T170118.455805Z--colab-validation: 76/125 correct (0.608).</t>
        </r>
      </text>
    </comment>
    <comment ref="K14" authorId="0" shapeId="0" xr:uid="{00000000-0006-0000-0000-000029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67/125 correct (0.536).</t>
        </r>
      </text>
    </comment>
    <comment ref="P14" authorId="0" shapeId="0" xr:uid="{00000000-0006-0000-0000-00002A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70/125 correct (0.560).</t>
        </r>
      </text>
    </comment>
    <comment ref="E15" authorId="0" shapeId="0" xr:uid="{00000000-0006-0000-0000-00002B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38/125 correct (0.304).</t>
        </r>
      </text>
    </comment>
    <comment ref="F15" authorId="0" shapeId="0" xr:uid="{00000000-0006-0000-0000-00002C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38/125 correct (0.304).</t>
        </r>
      </text>
    </comment>
    <comment ref="G15" authorId="0" shapeId="0" xr:uid="{00000000-0006-0000-0000-00002D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38/125 correct (0.304).</t>
        </r>
      </text>
    </comment>
    <comment ref="K15" authorId="0" shapeId="0" xr:uid="{00000000-0006-0000-0000-00002E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52/125 correct (0.416).</t>
        </r>
      </text>
    </comment>
    <comment ref="P15" authorId="0" shapeId="0" xr:uid="{00000000-0006-0000-0000-00002F000000}">
      <text>
        <r>
          <rPr>
            <sz val="12"/>
            <color theme="1"/>
            <rFont val="Aptos Narrow"/>
            <family val="2"/>
            <scheme val="minor"/>
          </rPr>
          <t>Imported from incomplete run 20260921T170118.455805Z--colab-validation: 53/125 correct (0.424).</t>
        </r>
      </text>
    </comment>
    <comment ref="C18" authorId="0" shapeId="0" xr:uid="{00000000-0006-0000-0000-000030000000}">
      <text>
        <r>
          <rPr>
            <sz val="12"/>
            <color rgb="FF000000"/>
            <rFont val="Aptos Narrow"/>
            <family val="2"/>
          </rPr>
          <t xml:space="preserve">Imported from run 20260918T112818.173051Z--colab-validation
</t>
        </r>
        <r>
          <rPr>
            <sz val="12"/>
            <color rgb="FF000000"/>
            <rFont val="Aptos Narrow"/>
            <family val="2"/>
          </rPr>
          <t xml:space="preserve">Model: gemma-2-9b-mask/best
</t>
        </r>
        <r>
          <rPr>
            <sz val="12"/>
            <color rgb="FF000000"/>
            <rFont val="Aptos Narrow"/>
            <family val="2"/>
          </rPr>
          <t xml:space="preserve">Method: diffusion
</t>
        </r>
        <r>
          <rPr>
            <sz val="12"/>
            <color rgb="FF000000"/>
            <rFont val="Aptos Narrow"/>
            <family val="2"/>
          </rPr>
          <t xml:space="preserve">128 generated tokens; 32 iterations
</t>
        </r>
        <r>
          <rPr>
            <sz val="12"/>
            <color rgb="FF000000"/>
            <rFont val="Aptos Narrow"/>
            <family val="2"/>
          </rPr>
          <t>Token-weighted perplexity: exp(total NLL / total scored tokens).</t>
        </r>
      </text>
    </comment>
    <comment ref="D18" authorId="0" shapeId="0" xr:uid="{00000000-0006-0000-0000-000031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gemma-2-9b-mask/best
Method: autoregressive
128 generated tokens; AR iterations
Token-weighted perplexity: exp(total NLL / total scored tokens).</t>
        </r>
      </text>
    </comment>
    <comment ref="E18" authorId="0" shapeId="0" xr:uid="{00000000-0006-0000-0000-000032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llama-3.1-8b-mask/best
Method: diffusion
128 generated tokens; 32 iterations
Token-weighted perplexity: exp(total NLL / total scored tokens).</t>
        </r>
      </text>
    </comment>
    <comment ref="H18" authorId="0" shapeId="0" xr:uid="{00000000-0006-0000-0000-000034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llama-3.1-8b-mask-frontier-answer90-padding10-long-epoch1-lr1e-5/checkpoint-25000
Method: diffusion
128 generated tokens; 32 iterations
Token-weighted perplexity: exp(total NLL / total scored tokens).</t>
        </r>
      </text>
    </comment>
    <comment ref="I18" authorId="0" shapeId="0" xr:uid="{00000000-0006-0000-0000-000035000000}">
      <text>
        <r>
          <rPr>
            <sz val="12"/>
            <color rgb="FF000000"/>
            <rFont val="Aptos Narrow"/>
            <family val="2"/>
          </rPr>
          <t xml:space="preserve">Imported from run 20260918T112818.173051Z--colab-validation
</t>
        </r>
        <r>
          <rPr>
            <sz val="12"/>
            <color rgb="FF000000"/>
            <rFont val="Aptos Narrow"/>
            <family val="2"/>
          </rPr>
          <t xml:space="preserve">Model: llama-3.1-8b-mask-frontier-answer90-padding10-long-epoch1-lr1e-5/checkpoint-50000
</t>
        </r>
        <r>
          <rPr>
            <sz val="12"/>
            <color rgb="FF000000"/>
            <rFont val="Aptos Narrow"/>
            <family val="2"/>
          </rPr>
          <t xml:space="preserve">Method: diffusion
</t>
        </r>
        <r>
          <rPr>
            <sz val="12"/>
            <color rgb="FF000000"/>
            <rFont val="Aptos Narrow"/>
            <family val="2"/>
          </rPr>
          <t xml:space="preserve">128 generated tokens; 32 iterations
</t>
        </r>
        <r>
          <rPr>
            <sz val="12"/>
            <color rgb="FF000000"/>
            <rFont val="Aptos Narrow"/>
            <family val="2"/>
          </rPr>
          <t>Token-weighted perplexity: exp(total NLL / total scored tokens).</t>
        </r>
      </text>
    </comment>
    <comment ref="K18" authorId="0" shapeId="0" xr:uid="{00000000-0006-0000-0000-000036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llama-3.1-8b-mask/best
Method: autoregressive
128 generated tokens; AR iterations
Token-weighted perplexity: exp(total NLL / total scored tokens).</t>
        </r>
      </text>
    </comment>
    <comment ref="L18" authorId="0" shapeId="0" xr:uid="{00000000-0006-0000-0000-000037000000}">
      <text>
        <r>
          <rPr>
            <sz val="12"/>
            <color rgb="FF000000"/>
            <rFont val="Aptos Narrow"/>
            <family val="2"/>
          </rPr>
          <t xml:space="preserve">Imported from run 20260918T112818.173051Z--colab-validation
</t>
        </r>
        <r>
          <rPr>
            <sz val="12"/>
            <color rgb="FF000000"/>
            <rFont val="Aptos Narrow"/>
            <family val="2"/>
          </rPr>
          <t xml:space="preserve">Model: qwen-2.5-7b-mask/best
</t>
        </r>
        <r>
          <rPr>
            <sz val="12"/>
            <color rgb="FF000000"/>
            <rFont val="Aptos Narrow"/>
            <family val="2"/>
          </rPr>
          <t xml:space="preserve">Method: diffusion
</t>
        </r>
        <r>
          <rPr>
            <sz val="12"/>
            <color rgb="FF000000"/>
            <rFont val="Aptos Narrow"/>
            <family val="2"/>
          </rPr>
          <t xml:space="preserve">128 generated tokens; 32 iterations
</t>
        </r>
        <r>
          <rPr>
            <sz val="12"/>
            <color rgb="FF000000"/>
            <rFont val="Aptos Narrow"/>
            <family val="2"/>
          </rPr>
          <t>Token-weighted perplexity: exp(total NLL / total scored tokens).</t>
        </r>
      </text>
    </comment>
    <comment ref="M18" authorId="0" shapeId="0" xr:uid="{00000000-0006-0000-0000-000038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qwen-2.5-7b-mask/best
Method: autoregressive
128 generated tokens; AR iterations
Token-weighted perplexity: exp(total NLL / total scored tokens).</t>
        </r>
      </text>
    </comment>
    <comment ref="N18" authorId="0" shapeId="0" xr:uid="{00000000-0006-0000-0000-000039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ministral-8b-mask/best
Method: diffusion
128 generated tokens; 32 iterations
Token-weighted perplexity: exp(total NLL / total scored tokens).</t>
        </r>
      </text>
    </comment>
    <comment ref="O18" authorId="0" shapeId="0" xr:uid="{00000000-0006-0000-0000-00003A000000}">
      <text>
        <r>
          <rPr>
            <sz val="12"/>
            <color rgb="FF000000"/>
            <rFont val="Aptos Narrow"/>
            <family val="2"/>
          </rPr>
          <t xml:space="preserve">Imported from run 20260918T112818.173051Z--colab-validation
</t>
        </r>
        <r>
          <rPr>
            <sz val="12"/>
            <color rgb="FF000000"/>
            <rFont val="Aptos Narrow"/>
            <family val="2"/>
          </rPr>
          <t xml:space="preserve">Model: ministral-8b-mask/best
</t>
        </r>
        <r>
          <rPr>
            <sz val="12"/>
            <color rgb="FF000000"/>
            <rFont val="Aptos Narrow"/>
            <family val="2"/>
          </rPr>
          <t xml:space="preserve">Method: autoregressive
</t>
        </r>
        <r>
          <rPr>
            <sz val="12"/>
            <color rgb="FF000000"/>
            <rFont val="Aptos Narrow"/>
            <family val="2"/>
          </rPr>
          <t xml:space="preserve">128 generated tokens; AR iterations
</t>
        </r>
        <r>
          <rPr>
            <sz val="12"/>
            <color rgb="FF000000"/>
            <rFont val="Aptos Narrow"/>
            <family val="2"/>
          </rPr>
          <t>Token-weighted perplexity: exp(total NLL / total scored tokens).</t>
        </r>
      </text>
    </comment>
    <comment ref="P18" authorId="0" shapeId="0" xr:uid="{00000000-0006-0000-0000-00003B000000}">
      <text>
        <r>
          <rPr>
            <sz val="12"/>
            <color rgb="FF000000"/>
            <rFont val="Aptos Narrow"/>
            <family val="2"/>
          </rPr>
          <t xml:space="preserve">Imported from run 20260918T112818.173051Z--colab-validation
</t>
        </r>
        <r>
          <rPr>
            <sz val="12"/>
            <color rgb="FF000000"/>
            <rFont val="Aptos Narrow"/>
            <family val="2"/>
          </rPr>
          <t xml:space="preserve">Model: llada:GSAI-ML/LLaDA-8B-Instruct
</t>
        </r>
        <r>
          <rPr>
            <sz val="12"/>
            <color rgb="FF000000"/>
            <rFont val="Aptos Narrow"/>
            <family val="2"/>
          </rPr>
          <t xml:space="preserve">Method: diffusion
</t>
        </r>
        <r>
          <rPr>
            <sz val="12"/>
            <color rgb="FF000000"/>
            <rFont val="Aptos Narrow"/>
            <family val="2"/>
          </rPr>
          <t xml:space="preserve">128 generated tokens; 32 iterations
</t>
        </r>
        <r>
          <rPr>
            <sz val="12"/>
            <color rgb="FF000000"/>
            <rFont val="Aptos Narrow"/>
            <family val="2"/>
          </rPr>
          <t>Token-weighted perplexity: exp(total NLL / total scored tokens).</t>
        </r>
      </text>
    </comment>
    <comment ref="C23" authorId="0" shapeId="0" xr:uid="{00000000-0006-0000-0000-00003C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gemma-2-9b-mask/best
Method: diffusion
128 generated tokens; 32 iterations
Mean per-answer sliding model-token Distinct-1.</t>
        </r>
      </text>
    </comment>
    <comment ref="D23" authorId="0" shapeId="0" xr:uid="{00000000-0006-0000-0000-00003D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gemma-2-9b-mask/best
Method: autoregressive
128 generated tokens; AR iterations
Mean per-answer sliding model-token Distinct-1.</t>
        </r>
      </text>
    </comment>
    <comment ref="E23" authorId="0" shapeId="0" xr:uid="{00000000-0006-0000-0000-00003E000000}">
      <text>
        <r>
          <rPr>
            <sz val="12"/>
            <color rgb="FF000000"/>
            <rFont val="Aptos Narrow"/>
            <family val="2"/>
          </rPr>
          <t xml:space="preserve">Imported from run 20260918T112818.173051Z--colab-validation
</t>
        </r>
        <r>
          <rPr>
            <sz val="12"/>
            <color rgb="FF000000"/>
            <rFont val="Aptos Narrow"/>
            <family val="2"/>
          </rPr>
          <t xml:space="preserve">Model: llama-3.1-8b-mask/best
</t>
        </r>
        <r>
          <rPr>
            <sz val="12"/>
            <color rgb="FF000000"/>
            <rFont val="Aptos Narrow"/>
            <family val="2"/>
          </rPr>
          <t xml:space="preserve">Method: diffusion
</t>
        </r>
        <r>
          <rPr>
            <sz val="12"/>
            <color rgb="FF000000"/>
            <rFont val="Aptos Narrow"/>
            <family val="2"/>
          </rPr>
          <t xml:space="preserve">128 generated tokens; 32 iterations
</t>
        </r>
        <r>
          <rPr>
            <sz val="12"/>
            <color rgb="FF000000"/>
            <rFont val="Aptos Narrow"/>
            <family val="2"/>
          </rPr>
          <t>Mean per-answer sliding model-token Distinct-1.</t>
        </r>
      </text>
    </comment>
    <comment ref="G23" authorId="0" shapeId="0" xr:uid="{00000000-0006-0000-0000-00003F000000}">
      <text>
        <r>
          <rPr>
            <sz val="12"/>
            <color rgb="FF000000"/>
            <rFont val="Aptos Narrow"/>
            <family val="2"/>
          </rPr>
          <t xml:space="preserve">Imported from run 20260918T112818.173051Z--colab-validation
</t>
        </r>
        <r>
          <rPr>
            <sz val="12"/>
            <color rgb="FF000000"/>
            <rFont val="Aptos Narrow"/>
            <family val="2"/>
          </rPr>
          <t xml:space="preserve">Model: llama-3.1-8b-mask-continued/best
</t>
        </r>
        <r>
          <rPr>
            <sz val="12"/>
            <color rgb="FF000000"/>
            <rFont val="Aptos Narrow"/>
            <family val="2"/>
          </rPr>
          <t xml:space="preserve">Method: diffusion
</t>
        </r>
        <r>
          <rPr>
            <sz val="12"/>
            <color rgb="FF000000"/>
            <rFont val="Aptos Narrow"/>
            <family val="2"/>
          </rPr>
          <t xml:space="preserve">128 generated tokens; 32 iterations
</t>
        </r>
        <r>
          <rPr>
            <sz val="12"/>
            <color rgb="FF000000"/>
            <rFont val="Aptos Narrow"/>
            <family val="2"/>
          </rPr>
          <t>Mean per-answer sliding model-token Distinct-1.</t>
        </r>
      </text>
    </comment>
    <comment ref="H23" authorId="0" shapeId="0" xr:uid="{00000000-0006-0000-0000-000040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llama-3.1-8b-mask-frontier-answer90-padding10-long-epoch1-lr1e-5/checkpoint-25000
Method: diffusion
128 generated tokens; 32 iterations
Mean per-answer sliding model-token Distinct-1.</t>
        </r>
      </text>
    </comment>
    <comment ref="I23" authorId="0" shapeId="0" xr:uid="{00000000-0006-0000-0000-000041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llama-3.1-8b-mask-frontier-answer90-padding10-long-epoch1-lr1e-5/checkpoint-50000
Method: diffusion
128 generated tokens; 32 iterations
Mean per-answer sliding model-token Distinct-1.</t>
        </r>
      </text>
    </comment>
    <comment ref="K23" authorId="0" shapeId="0" xr:uid="{00000000-0006-0000-0000-000042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llama-3.1-8b-mask/best
Method: autoregressive
128 generated tokens; AR iterations
Mean per-answer sliding model-token Distinct-1.</t>
        </r>
      </text>
    </comment>
    <comment ref="L23" authorId="0" shapeId="0" xr:uid="{00000000-0006-0000-0000-000043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qwen-2.5-7b-mask/best
Method: diffusion
128 generated tokens; 32 iterations
Mean per-answer sliding model-token Distinct-1.</t>
        </r>
      </text>
    </comment>
    <comment ref="M23" authorId="0" shapeId="0" xr:uid="{00000000-0006-0000-0000-000044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qwen-2.5-7b-mask/best
Method: autoregressive
128 generated tokens; AR iterations
Mean per-answer sliding model-token Distinct-1.</t>
        </r>
      </text>
    </comment>
    <comment ref="N23" authorId="0" shapeId="0" xr:uid="{00000000-0006-0000-0000-000045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ministral-8b-mask/best
Method: diffusion
128 generated tokens; 32 iterations
Mean per-answer sliding model-token Distinct-1.</t>
        </r>
      </text>
    </comment>
    <comment ref="O23" authorId="0" shapeId="0" xr:uid="{00000000-0006-0000-0000-000046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ministral-8b-mask/best
Method: autoregressive
128 generated tokens; AR iterations
Mean per-answer sliding model-token Distinct-1.</t>
        </r>
      </text>
    </comment>
    <comment ref="P23" authorId="0" shapeId="0" xr:uid="{00000000-0006-0000-0000-000047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llada:GSAI-ML/LLaDA-8B-Instruct
Method: diffusion
128 generated tokens; 32 iterations
Mean per-answer sliding model-token Distinct-1.</t>
        </r>
      </text>
    </comment>
    <comment ref="C28" authorId="0" shapeId="0" xr:uid="{00000000-0006-0000-0000-000048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gemma-2-9b-mask/best
Method: diffusion
128 generated tokens; 32 iterations
Mean per-answer sliding model-token Distinct-2.</t>
        </r>
      </text>
    </comment>
    <comment ref="D28" authorId="0" shapeId="0" xr:uid="{00000000-0006-0000-0000-000049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gemma-2-9b-mask/best
Method: autoregressive
128 generated tokens; AR iterations
Mean per-answer sliding model-token Distinct-2.</t>
        </r>
      </text>
    </comment>
    <comment ref="E28" authorId="0" shapeId="0" xr:uid="{00000000-0006-0000-0000-00004A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llama-3.1-8b-mask/best
Method: diffusion
128 generated tokens; 32 iterations
Mean per-answer sliding model-token Distinct-2.</t>
        </r>
      </text>
    </comment>
    <comment ref="G28" authorId="0" shapeId="0" xr:uid="{00000000-0006-0000-0000-00004B000000}">
      <text>
        <r>
          <rPr>
            <sz val="12"/>
            <color rgb="FF000000"/>
            <rFont val="Aptos Narrow"/>
            <family val="2"/>
          </rPr>
          <t xml:space="preserve">Imported from run 20260918T112818.173051Z--colab-validation
</t>
        </r>
        <r>
          <rPr>
            <sz val="12"/>
            <color rgb="FF000000"/>
            <rFont val="Aptos Narrow"/>
            <family val="2"/>
          </rPr>
          <t xml:space="preserve">Model: llama-3.1-8b-mask-continued/best
</t>
        </r>
        <r>
          <rPr>
            <sz val="12"/>
            <color rgb="FF000000"/>
            <rFont val="Aptos Narrow"/>
            <family val="2"/>
          </rPr>
          <t xml:space="preserve">Method: diffusion
</t>
        </r>
        <r>
          <rPr>
            <sz val="12"/>
            <color rgb="FF000000"/>
            <rFont val="Aptos Narrow"/>
            <family val="2"/>
          </rPr>
          <t xml:space="preserve">128 generated tokens; 32 iterations
</t>
        </r>
        <r>
          <rPr>
            <sz val="12"/>
            <color rgb="FF000000"/>
            <rFont val="Aptos Narrow"/>
            <family val="2"/>
          </rPr>
          <t>Mean per-answer sliding model-token Distinct-2.</t>
        </r>
      </text>
    </comment>
    <comment ref="H28" authorId="0" shapeId="0" xr:uid="{00000000-0006-0000-0000-00004C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llama-3.1-8b-mask-frontier-answer90-padding10-long-epoch1-lr1e-5/checkpoint-25000
Method: diffusion
128 generated tokens; 32 iterations
Mean per-answer sliding model-token Distinct-2.</t>
        </r>
      </text>
    </comment>
    <comment ref="I28" authorId="0" shapeId="0" xr:uid="{00000000-0006-0000-0000-00004D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llama-3.1-8b-mask-frontier-answer90-padding10-long-epoch1-lr1e-5/checkpoint-50000
Method: diffusion
128 generated tokens; 32 iterations
Mean per-answer sliding model-token Distinct-2.</t>
        </r>
      </text>
    </comment>
    <comment ref="K28" authorId="0" shapeId="0" xr:uid="{00000000-0006-0000-0000-00004E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llama-3.1-8b-mask/best
Method: autoregressive
128 generated tokens; AR iterations
Mean per-answer sliding model-token Distinct-2.</t>
        </r>
      </text>
    </comment>
    <comment ref="L28" authorId="0" shapeId="0" xr:uid="{00000000-0006-0000-0000-00004F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qwen-2.5-7b-mask/best
Method: diffusion
128 generated tokens; 32 iterations
Mean per-answer sliding model-token Distinct-2.</t>
        </r>
      </text>
    </comment>
    <comment ref="M28" authorId="0" shapeId="0" xr:uid="{00000000-0006-0000-0000-000050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qwen-2.5-7b-mask/best
Method: autoregressive
128 generated tokens; AR iterations
Mean per-answer sliding model-token Distinct-2.</t>
        </r>
      </text>
    </comment>
    <comment ref="N28" authorId="0" shapeId="0" xr:uid="{00000000-0006-0000-0000-000051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ministral-8b-mask/best
Method: diffusion
128 generated tokens; 32 iterations
Mean per-answer sliding model-token Distinct-2.</t>
        </r>
      </text>
    </comment>
    <comment ref="O28" authorId="0" shapeId="0" xr:uid="{00000000-0006-0000-0000-000052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ministral-8b-mask/best
Method: autoregressive
128 generated tokens; AR iterations
Mean per-answer sliding model-token Distinct-2.</t>
        </r>
      </text>
    </comment>
    <comment ref="P28" authorId="0" shapeId="0" xr:uid="{00000000-0006-0000-0000-000053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llada:GSAI-ML/LLaDA-8B-Instruct
Method: diffusion
128 generated tokens; 32 iterations
Mean per-answer sliding model-token Distinct-2.</t>
        </r>
      </text>
    </comment>
    <comment ref="C33" authorId="0" shapeId="0" xr:uid="{00000000-0006-0000-0000-000054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gemma-2-9b-mask/best
Method: diffusion
128 generated tokens; 32 iterations
Mean per-answer sliding model-token Distinct-3.</t>
        </r>
      </text>
    </comment>
    <comment ref="D33" authorId="0" shapeId="0" xr:uid="{00000000-0006-0000-0000-000055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gemma-2-9b-mask/best
Method: autoregressive
128 generated tokens; AR iterations
Mean per-answer sliding model-token Distinct-3.</t>
        </r>
      </text>
    </comment>
    <comment ref="E33" authorId="0" shapeId="0" xr:uid="{00000000-0006-0000-0000-000056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llama-3.1-8b-mask/best
Method: diffusion
128 generated tokens; 32 iterations
Mean per-answer sliding model-token Distinct-3.</t>
        </r>
      </text>
    </comment>
    <comment ref="G33" authorId="0" shapeId="0" xr:uid="{00000000-0006-0000-0000-000057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llama-3.1-8b-mask-continued/best
Method: diffusion
128 generated tokens; 32 iterations
Mean per-answer sliding model-token Distinct-3.</t>
        </r>
      </text>
    </comment>
    <comment ref="H33" authorId="0" shapeId="0" xr:uid="{00000000-0006-0000-0000-000058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llama-3.1-8b-mask-frontier-answer90-padding10-long-epoch1-lr1e-5/checkpoint-25000
Method: diffusion
128 generated tokens; 32 iterations
Mean per-answer sliding model-token Distinct-3.</t>
        </r>
      </text>
    </comment>
    <comment ref="I33" authorId="0" shapeId="0" xr:uid="{00000000-0006-0000-0000-000059000000}">
      <text>
        <r>
          <rPr>
            <sz val="12"/>
            <color rgb="FF000000"/>
            <rFont val="Aptos Narrow"/>
            <family val="2"/>
          </rPr>
          <t xml:space="preserve">Imported from run 20260918T112818.173051Z--colab-validation
</t>
        </r>
        <r>
          <rPr>
            <sz val="12"/>
            <color rgb="FF000000"/>
            <rFont val="Aptos Narrow"/>
            <family val="2"/>
          </rPr>
          <t xml:space="preserve">Model: llama-3.1-8b-mask-frontier-answer90-padding10-long-epoch1-lr1e-5/checkpoint-50000
</t>
        </r>
        <r>
          <rPr>
            <sz val="12"/>
            <color rgb="FF000000"/>
            <rFont val="Aptos Narrow"/>
            <family val="2"/>
          </rPr>
          <t xml:space="preserve">Method: diffusion
</t>
        </r>
        <r>
          <rPr>
            <sz val="12"/>
            <color rgb="FF000000"/>
            <rFont val="Aptos Narrow"/>
            <family val="2"/>
          </rPr>
          <t xml:space="preserve">128 generated tokens; 32 iterations
</t>
        </r>
        <r>
          <rPr>
            <sz val="12"/>
            <color rgb="FF000000"/>
            <rFont val="Aptos Narrow"/>
            <family val="2"/>
          </rPr>
          <t>Mean per-answer sliding model-token Distinct-3.</t>
        </r>
      </text>
    </comment>
    <comment ref="K33" authorId="0" shapeId="0" xr:uid="{00000000-0006-0000-0000-00005A000000}">
      <text>
        <r>
          <rPr>
            <sz val="12"/>
            <color rgb="FF000000"/>
            <rFont val="Aptos Narrow"/>
            <family val="2"/>
          </rPr>
          <t xml:space="preserve">Imported from run 20260918T112818.173051Z--colab-validation
</t>
        </r>
        <r>
          <rPr>
            <sz val="12"/>
            <color rgb="FF000000"/>
            <rFont val="Aptos Narrow"/>
            <family val="2"/>
          </rPr>
          <t xml:space="preserve">Model: llama-3.1-8b-mask/best
</t>
        </r>
        <r>
          <rPr>
            <sz val="12"/>
            <color rgb="FF000000"/>
            <rFont val="Aptos Narrow"/>
            <family val="2"/>
          </rPr>
          <t xml:space="preserve">Method: autoregressive
</t>
        </r>
        <r>
          <rPr>
            <sz val="12"/>
            <color rgb="FF000000"/>
            <rFont val="Aptos Narrow"/>
            <family val="2"/>
          </rPr>
          <t xml:space="preserve">128 generated tokens; AR iterations
</t>
        </r>
        <r>
          <rPr>
            <sz val="12"/>
            <color rgb="FF000000"/>
            <rFont val="Aptos Narrow"/>
            <family val="2"/>
          </rPr>
          <t>Mean per-answer sliding model-token Distinct-3.</t>
        </r>
      </text>
    </comment>
    <comment ref="L33" authorId="0" shapeId="0" xr:uid="{00000000-0006-0000-0000-00005B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qwen-2.5-7b-mask/best
Method: diffusion
128 generated tokens; 32 iterations
Mean per-answer sliding model-token Distinct-3.</t>
        </r>
      </text>
    </comment>
    <comment ref="M33" authorId="0" shapeId="0" xr:uid="{00000000-0006-0000-0000-00005C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qwen-2.5-7b-mask/best
Method: autoregressive
128 generated tokens; AR iterations
Mean per-answer sliding model-token Distinct-3.</t>
        </r>
      </text>
    </comment>
    <comment ref="N33" authorId="0" shapeId="0" xr:uid="{00000000-0006-0000-0000-00005D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ministral-8b-mask/best
Method: diffusion
128 generated tokens; 32 iterations
Mean per-answer sliding model-token Distinct-3.</t>
        </r>
      </text>
    </comment>
    <comment ref="O33" authorId="0" shapeId="0" xr:uid="{00000000-0006-0000-0000-00005E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ministral-8b-mask/best
Method: autoregressive
128 generated tokens; AR iterations
Mean per-answer sliding model-token Distinct-3.</t>
        </r>
      </text>
    </comment>
    <comment ref="P33" authorId="0" shapeId="0" xr:uid="{00000000-0006-0000-0000-00005F000000}">
      <text>
        <r>
          <rPr>
            <sz val="12"/>
            <color theme="1"/>
            <rFont val="Aptos Narrow"/>
            <family val="2"/>
            <scheme val="minor"/>
          </rPr>
          <t>Imported from run 20260918T112818.173051Z--colab-validation
Model: llada:GSAI-ML/LLaDA-8B-Instruct
Method: diffusion
128 generated tokens; 32 iterations
Mean per-answer sliding model-token Distinct-3.</t>
        </r>
      </text>
    </comment>
  </commentList>
</comments>
</file>

<file path=xl/sharedStrings.xml><?xml version="1.0" encoding="utf-8"?>
<sst xmlns="http://schemas.openxmlformats.org/spreadsheetml/2006/main" count="319" uniqueCount="219">
  <si>
    <t>Blue text</t>
  </si>
  <si>
    <t>updated from the incomplete 125-sample run</t>
  </si>
  <si>
    <t>Black text</t>
  </si>
  <si>
    <t>preserved from earlier runs (typically 50 samples)</t>
  </si>
  <si>
    <t>model</t>
  </si>
  <si>
    <t>gemma-2-9b-mask</t>
  </si>
  <si>
    <t>gemma-2-9b-autoregressive</t>
  </si>
  <si>
    <t>llama-3.1-8b-mask</t>
  </si>
  <si>
    <t>llama-3.1-8b-mask-merged</t>
  </si>
  <si>
    <t>llama-3.1-8b-mask-frontier-answer90-padding10-long-epoch1-lr1e-5/checkpoint-25000</t>
  </si>
  <si>
    <t>llama-3.1-8b-mask-frontier-answer90-padding10-long-epoch1-lr1e-5/checkpoint-50000</t>
  </si>
  <si>
    <t>llama-3.1-8b-mask-iid-alltokens-answerpadding-long-1m</t>
  </si>
  <si>
    <t>llama-3.1-8b-autoregressive</t>
  </si>
  <si>
    <t>qwen-2.5-7b-mask</t>
  </si>
  <si>
    <t>qwen-2.5-7b-autoregressive</t>
  </si>
  <si>
    <t>ministral-mask</t>
  </si>
  <si>
    <t>ministral-autoregressive</t>
  </si>
  <si>
    <t>LLaDA-8B-Instruct (own validation)</t>
  </si>
  <si>
    <t>LLaDA-Instruct (according to paper)</t>
  </si>
  <si>
    <t>Dream-Instruct</t>
  </si>
  <si>
    <t>iLLaDA-Instruct</t>
  </si>
  <si>
    <t>Efficient-DLM 8B</t>
  </si>
  <si>
    <t>task</t>
  </si>
  <si>
    <t>arc_c</t>
  </si>
  <si>
    <t>gpqa</t>
  </si>
  <si>
    <t>gsm8k</t>
  </si>
  <si>
    <t>hellaswag</t>
  </si>
  <si>
    <t>humaneval</t>
  </si>
  <si>
    <t>math</t>
  </si>
  <si>
    <t>mbpp</t>
  </si>
  <si>
    <t>mmlu</t>
  </si>
  <si>
    <t>mmlu_pro</t>
  </si>
  <si>
    <t>Average</t>
  </si>
  <si>
    <t>Perplexity (using Phi-4 14B)</t>
  </si>
  <si>
    <t>(128 tokens, 32 iterations)</t>
  </si>
  <si>
    <t>(128 tokens, 64 iterations)</t>
  </si>
  <si>
    <t>(128 tokens, 128 iterations)</t>
  </si>
  <si>
    <t>Distinct-1 (model tokens)</t>
  </si>
  <si>
    <t>Distinct-2 (model tokens)</t>
  </si>
  <si>
    <t>Distinct-3 (model tokens)</t>
  </si>
  <si>
    <t>Training iterations</t>
  </si>
  <si>
    <t>128 tokens generated — Phi-4 token-weighted perplexity</t>
  </si>
  <si>
    <t>Phi-4 14B</t>
  </si>
  <si>
    <t>BYOD-Llama (32 it.)</t>
  </si>
  <si>
    <t>LLaDA (32 it.)</t>
  </si>
  <si>
    <t>Llama 3.1 8B AR</t>
  </si>
  <si>
    <t>BYOD-Llama (64 it.)</t>
  </si>
  <si>
    <t>LLaDA (64 it.)</t>
  </si>
  <si>
    <t>BYOD-Llama (128 it.)</t>
  </si>
  <si>
    <t>LLaDA (128 it.)</t>
  </si>
  <si>
    <t>128 tokens generated — mean sliding model-token Distinct-1</t>
  </si>
  <si>
    <t>Distinct 1-grams</t>
  </si>
  <si>
    <t>LAD-Llama (128 it.)</t>
  </si>
  <si>
    <t>128 tokens generated — mean sliding model-token Distinct-2</t>
  </si>
  <si>
    <t>Distinct 2-grams</t>
  </si>
  <si>
    <t>Distinct 3-grams</t>
  </si>
  <si>
    <t>128 tokens generated — mean sliding model-token Distinct-3</t>
  </si>
  <si>
    <t>temp = 0.7</t>
  </si>
  <si>
    <t>128 tokens generated</t>
  </si>
  <si>
    <t>LAD-Llama (32 it.)</t>
  </si>
  <si>
    <t>LAD-Llama (64 it.)</t>
  </si>
  <si>
    <t>LAD-Gemma (32 it.)</t>
  </si>
  <si>
    <t>LAD-Gemma (64 it.)</t>
  </si>
  <si>
    <t>LAD-Gemma (128 it.)</t>
  </si>
  <si>
    <t>Field</t>
  </si>
  <si>
    <t>Value</t>
  </si>
  <si>
    <t>Run ID</t>
  </si>
  <si>
    <t>20260918T112818.173051Z--colab-validation</t>
  </si>
  <si>
    <t>Started UTC</t>
  </si>
  <si>
    <t>2026-09-18T11:28:18.173051+00:00</t>
  </si>
  <si>
    <t>Completed UTC</t>
  </si>
  <si>
    <t>2026-09-18T11:59:45.179621+00:00</t>
  </si>
  <si>
    <t>Source summary</t>
  </si>
  <si>
    <t>/Users/rkuiper/Library/CloudStorage/GoogleDrive-ruurd.kuiper@gmail.com/My Drive/lad-generic-results/validation/benchmark_runs/20260918T112818.173051Z--colab-validation/summary.json</t>
  </si>
  <si>
    <t>Output length</t>
  </si>
  <si>
    <t>Diffusion iterations</t>
  </si>
  <si>
    <t>Perplexity statistic</t>
  </si>
  <si>
    <t>Token-weighted perplexity = exp(total NLL / total scored tokens)</t>
  </si>
  <si>
    <t>Distinct metrics</t>
  </si>
  <si>
    <t>Mean per-answer sliding Distinct-n over model-tokenizer tokens</t>
  </si>
  <si>
    <t>Perplexity scorer</t>
  </si>
  <si>
    <t>microsoft/phi-4</t>
  </si>
  <si>
    <t>Prompts per result</t>
  </si>
  <si>
    <t>Merged-model run ID</t>
  </si>
  <si>
    <t>20260918T123901.774999Z--colab-validation</t>
  </si>
  <si>
    <t>Merged-model started UTC</t>
  </si>
  <si>
    <t>2026-09-18T12:39:01.774999+00:00</t>
  </si>
  <si>
    <t>Merged-model completed UTC</t>
  </si>
  <si>
    <t>2026-09-18T12:43:38.360970+00:00</t>
  </si>
  <si>
    <t>Merged-model source summary</t>
  </si>
  <si>
    <t>/Users/rkuiper/Library/CloudStorage/GoogleDrive-ruurd.kuiper@gmail.com/My Drive/lad-generic-results/validation/benchmark_runs/20260918T123901.774999Z--colab-validation/summary.json</t>
  </si>
  <si>
    <t>Merged checkpoint</t>
  </si>
  <si>
    <t>merged:/content/drive/MyDrive/lad-generic-results/merged/llama-3.1-8b-mask</t>
  </si>
  <si>
    <t>Matched adapter result</t>
  </si>
  <si>
    <t>20260918T112818.173051Z--colab-validation; llama-3.1-8b-mask/best</t>
  </si>
  <si>
    <t>Merged token-weighted perplexity</t>
  </si>
  <si>
    <t>Merged mean Distinct-1</t>
  </si>
  <si>
    <t>Merged mean Distinct-2</t>
  </si>
  <si>
    <t>Merged mean Distinct-3</t>
  </si>
  <si>
    <t>Merge comparison settings</t>
  </si>
  <si>
    <t>30 prompts; 128 output tokens; 32 iterations; seed 1234; temperature 0.7; Phi-4 scorer</t>
  </si>
  <si>
    <t>64-step run ID</t>
  </si>
  <si>
    <t>20260918T135058.643507Z--colab-validation</t>
  </si>
  <si>
    <t>64-step started UTC</t>
  </si>
  <si>
    <t>2026-09-18T13:50:58.643507+00:00</t>
  </si>
  <si>
    <t>64-step completed UTC</t>
  </si>
  <si>
    <t>2026-09-18T14:29:25.971984+00:00</t>
  </si>
  <si>
    <t>64-step source summary</t>
  </si>
  <si>
    <t>/Users/rkuiper/Library/CloudStorage/GoogleDrive-ruurd.kuiper@gmail.com/My Drive/lad-generic-results/validation/benchmark_runs/20260918T135058.643507Z--colab-validation/summary.json</t>
  </si>
  <si>
    <t>64-step imported metrics</t>
  </si>
  <si>
    <t>Token-weighted perplexity and mean sliding model-token Distinct-1/2/3</t>
  </si>
  <si>
    <t>64-step imported columns</t>
  </si>
  <si>
    <t>Gemma D/AR; Llama D/merged/continued/frontier-25k/frontier-50k/AR; Qwen D/AR; Ministral D/AR; LLaDA</t>
  </si>
  <si>
    <t>Legacy result omitted from 64-step rows</t>
  </si>
  <si>
    <t>Actual num_steps=32; token-weighted PPL=29.86834144592285; D1/D2/D3=0.359883276468082/0.6493628215583258/0.7861571146586783</t>
  </si>
  <si>
    <t>128-step run ID</t>
  </si>
  <si>
    <t>20260918T145248.574217Z--colab-validation</t>
  </si>
  <si>
    <t>128-step started UTC</t>
  </si>
  <si>
    <t>2026-09-18T14:52:48.574217+00:00</t>
  </si>
  <si>
    <t>128-step completed UTC</t>
  </si>
  <si>
    <t>2026-09-18T15:44:20.666231+00:00</t>
  </si>
  <si>
    <t>128-step source summary</t>
  </si>
  <si>
    <t>/Users/rkuiper/Library/CloudStorage/GoogleDrive-ruurd.kuiper@gmail.com/My Drive/lad-generic-results/validation/benchmark_runs/20260918T145248.574217Z--colab-validation/summary.json</t>
  </si>
  <si>
    <t>128-step imported metrics</t>
  </si>
  <si>
    <t>128-step imported columns</t>
  </si>
  <si>
    <t>128-step models absent from run</t>
  </si>
  <si>
    <t>llama-3.1-8b-struct and LAD-8B-struct-legacy; existing workbook cells preserved</t>
  </si>
  <si>
    <t>Accuracy recovery run ID</t>
  </si>
  <si>
    <t>20260918T155517.804510Z--colab-validation</t>
  </si>
  <si>
    <t>Accuracy recovery run status</t>
  </si>
  <si>
    <t>INCOMPLETE: manifest remains running; no completed_at or top-level summary</t>
  </si>
  <si>
    <t>Accuracy recovery started UTC</t>
  </si>
  <si>
    <t>2026-09-18T15:55:17.804510+00:00</t>
  </si>
  <si>
    <t>Accuracy recovery source</t>
  </si>
  <si>
    <t>/Users/rkuiper/Library/CloudStorage/GoogleDrive-ruurd.kuiper@gmail.com/My Drive/lad-generic-results/validation/benchmark_runs/20260918T155517.804510Z--colab-validation</t>
  </si>
  <si>
    <t>Completed groups imported</t>
  </si>
  <si>
    <t>102 model/task groups, each based on 50 samples</t>
  </si>
  <si>
    <t>Fully completed model columns</t>
  </si>
  <si>
    <t>Frontier-25k; frontier-50k; merged Llama; Llama-25k; Llama-50k; Llama AR; LLaDA; Gemma D/AR; Qwen D/AR</t>
  </si>
  <si>
    <t>Ministral imported</t>
  </si>
  <si>
    <t>Diffusion MMLU 28/50; AR MMLU 26/50; diffusion MMLU-Pro reconstructed as 15/50 from complete records</t>
  </si>
  <si>
    <t>Failure point</t>
  </si>
  <si>
    <t>Ministral AR MMLU-Pro stopped after 39/50 (13 correct); not imported</t>
  </si>
  <si>
    <t>Not reached</t>
  </si>
  <si>
    <t>Remaining Ministral tasks: HellaSwag, ARC-C, GSM8K, MATH, GPQA, HumanEval, MBPP</t>
  </si>
  <si>
    <t>Artifact integrity note</t>
  </si>
  <si>
    <t>Llama-25k MATH summary reports 11/50 after task completion, but Drive JSONL lacks IDs 24-27 (46 records, 10 correct); saved aggregate 11/50 imported</t>
  </si>
  <si>
    <t>Sample-size formatting</t>
  </si>
  <si>
    <t>Imported cells use black text: 50 samples per completed result</t>
  </si>
  <si>
    <t>125-sample accuracy run ID</t>
  </si>
  <si>
    <t>20260921T170118.455805Z--colab-validation</t>
  </si>
  <si>
    <t>125-sample run status</t>
  </si>
  <si>
    <t>INCOMPLETE: manifest remains running; no top-level summary.json</t>
  </si>
  <si>
    <t>125-sample started UTC</t>
  </si>
  <si>
    <t>2026-09-21T17:01:18.455805+00:00</t>
  </si>
  <si>
    <t>125-sample source directory</t>
  </si>
  <si>
    <t>/Users/rkuiper/Library/CloudStorage/GoogleDrive-ruurd.kuiper@gmail.com/My Drive/lad-generic-results/validation/benchmark_runs/20260921T170118.455805Z--colab-validation</t>
  </si>
  <si>
    <t>Configured examples per task</t>
  </si>
  <si>
    <t>47 model/task groups; every imported summary reports 125/125 examples</t>
  </si>
  <si>
    <t>Llama-25k; merged Llama; Llama-50k; shared Llama AR parent; LLaDA (9 tasks each)</t>
  </si>
  <si>
    <t>Partially completed model columns</t>
  </si>
  <si>
    <t>Gemma diffusion and Gemma AR: MMLU only</t>
  </si>
  <si>
    <t>Not imported from this run</t>
  </si>
  <si>
    <t>Open-ended: no completed summaries; remaining Gemma tasks, Qwen, and Ministral: no completed summaries</t>
  </si>
  <si>
    <t>Workbook preservation rule</t>
  </si>
  <si>
    <t>Only completed 125-sample accuracy cells were overwritten; all other prior values and open-ended metrics were preserved</t>
  </si>
  <si>
    <t>Visual marking</t>
  </si>
  <si>
    <t>Blue accuracy cells are from this 125-sample run; black cells are preserved earlier results</t>
  </si>
  <si>
    <t>Accuracy source</t>
  </si>
  <si>
    <t>Saved group summary accuracy (= correct / total); no partial JSONL groups imported</t>
  </si>
  <si>
    <t>Import timestamp UTC</t>
  </si>
  <si>
    <t>2026-09-22T07:45:59.993074+00:00</t>
  </si>
  <si>
    <t>32-NFE progression run ID</t>
  </si>
  <si>
    <t>20260923T134029.046940Z--colab-validation</t>
  </si>
  <si>
    <t>32-NFE progression completed UTC</t>
  </si>
  <si>
    <t>2026-09-23T14:29:04.861603+00:00</t>
  </si>
  <si>
    <t>32-NFE progression source</t>
  </si>
  <si>
    <t>/Users/rkuiper/Library/CloudStorage/GoogleDrive-ruurd.kuiper@gmail.com/My Drive/lad-generic-results/validation/benchmark_runs/20260923T134029.046940Z--colab-validation/summary.json</t>
  </si>
  <si>
    <t>32-NFE imported global updates</t>
  </si>
  <si>
    <t>1k, 5k, 10k, 15k, 20k, 25k, 30k, 35k, 40k, 45k, 50k</t>
  </si>
  <si>
    <t>32-NFE scored prompts per checkpoint</t>
  </si>
  <si>
    <t>32-NFE imported metrics</t>
  </si>
  <si>
    <t>Token-weighted perplexity; mean sliding model-token Distinct-1/2/3</t>
  </si>
  <si>
    <t>64-NFE progression run ID</t>
  </si>
  <si>
    <t>20260923T190517.263478Z--colab-validation</t>
  </si>
  <si>
    <t>64-NFE progression completed UTC</t>
  </si>
  <si>
    <t>2026-09-23T20:08:05.344501+00:00</t>
  </si>
  <si>
    <t>64-NFE progression source</t>
  </si>
  <si>
    <t>/Users/rkuiper/Library/CloudStorage/GoogleDrive-ruurd.kuiper@gmail.com/My Drive/lad-generic-results/validation/benchmark_runs/20260923T190517.263478Z--colab-validation/summary.json</t>
  </si>
  <si>
    <t>64-NFE imported global updates</t>
  </si>
  <si>
    <t>64-NFE scored prompts per checkpoint</t>
  </si>
  <si>
    <t>64-NFE imported metrics</t>
  </si>
  <si>
    <t>128-NFE progression run ID</t>
  </si>
  <si>
    <t>20260923T201036.622289Z--colab-validation</t>
  </si>
  <si>
    <t>128-NFE progression completed UTC</t>
  </si>
  <si>
    <t>2026-09-23T22:16:14.309989+00:00</t>
  </si>
  <si>
    <t>128-NFE progression source</t>
  </si>
  <si>
    <t>/Users/rkuiper/Library/CloudStorage/GoogleDrive-ruurd.kuiper@gmail.com/My Drive/lad-generic-results/validation/benchmark_runs/20260923T201036.622289Z--colab-validation/summary.json</t>
  </si>
  <si>
    <t>128-NFE imported global updates</t>
  </si>
  <si>
    <t>128-NFE scored prompts per checkpoint</t>
  </si>
  <si>
    <t>128-NFE imported metrics</t>
  </si>
  <si>
    <t>Autoregressive reference run ID</t>
  </si>
  <si>
    <t>Autoregressive reference model</t>
  </si>
  <si>
    <t>meta-llama/Llama-3.1-8B-Instruct</t>
  </si>
  <si>
    <t>Autoregressive reference scored prompts</t>
  </si>
  <si>
    <t>Autoregressive reference perplexity</t>
  </si>
  <si>
    <t>Autoregressive reference mean Distinct-1</t>
  </si>
  <si>
    <t>Long-run validation-loss source</t>
  </si>
  <si>
    <t>/Users/rkuiper/Library/CloudStorage/GoogleDrive-ruurd.kuiper@gmail.com/My Drive/lad-generic-results/outputs/llama-3.1-8b-mask-long/metrics.jsonl</t>
  </si>
  <si>
    <t>Long-run validation-loss snapshot</t>
  </si>
  <si>
    <t>steps 500--50000 in increments of 500</t>
  </si>
  <si>
    <t>Progression import timestamp UTC</t>
  </si>
  <si>
    <t>2026-09-24T05:47:36.907885+00:00</t>
  </si>
  <si>
    <t>Training update</t>
  </si>
  <si>
    <t>Weighted validation loss</t>
  </si>
  <si>
    <t>Unweighted masked-token CE</t>
  </si>
  <si>
    <t>Generation perplexity (when measured)</t>
  </si>
  <si>
    <t>Mean Distinct-1 (when measured)</t>
  </si>
  <si>
    <t>llama-3.1-8b-mask-long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</si>
</sst>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00000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1F1F1F"/>
      <name val="Arial"/>
      <family val="2"/>
    </font>
    <font>
      <sz val="14"/>
      <color rgb="FF1F1F1F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2"/>
      <name val="Aptos Narrow"/>
    </font>
    <font>
      <sz val="12"/>
      <color rgb="FF000000"/>
      <name val="Aptos Narrow"/>
      <family val="2"/>
    </font>
    <font>
      <sz val="14"/>
      <color rgb="FF0070C0"/>
      <name val="Arial"/>
      <family val="2"/>
    </font>
    <font>
      <sz val="14"/>
      <color theme="7"/>
      <name val="Arial"/>
      <family val="2"/>
    </font>
    <font>
      <b/>
      <sz val="12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39">
    <xf numFmtId="0" fontId="0" fillId="0" borderId="0" xfId="0"/>
    <xf numFmtId="0" fontId="2" fillId="0" borderId="0" xfId="0" applyFont="1"/>
    <xf numFmtId="10" fontId="3" fillId="0" borderId="0" xfId="0" applyNumberFormat="1" applyFont="1"/>
    <xf numFmtId="0" fontId="4" fillId="0" borderId="0" xfId="0" applyFont="1"/>
    <xf numFmtId="2" fontId="3" fillId="0" borderId="0" xfId="0" applyNumberFormat="1" applyFont="1"/>
    <xf numFmtId="2" fontId="4" fillId="0" borderId="0" xfId="0" applyNumberFormat="1" applyFont="1"/>
    <xf numFmtId="10" fontId="4" fillId="0" borderId="0" xfId="0" applyNumberFormat="1" applyFont="1"/>
    <xf numFmtId="0" fontId="5" fillId="0" borderId="0" xfId="0" applyFont="1"/>
    <xf numFmtId="0" fontId="3" fillId="0" borderId="0" xfId="0" applyFont="1"/>
    <xf numFmtId="164" fontId="3" fillId="0" borderId="0" xfId="0" applyNumberFormat="1" applyFont="1"/>
    <xf numFmtId="164" fontId="4" fillId="0" borderId="0" xfId="1" applyNumberFormat="1" applyFont="1"/>
    <xf numFmtId="164" fontId="4" fillId="0" borderId="0" xfId="0" applyNumberFormat="1" applyFont="1"/>
    <xf numFmtId="0" fontId="4" fillId="0" borderId="0" xfId="1" applyNumberFormat="1" applyFont="1"/>
    <xf numFmtId="0" fontId="6" fillId="0" borderId="0" xfId="0" applyFont="1"/>
    <xf numFmtId="2" fontId="4" fillId="0" borderId="0" xfId="1" applyNumberFormat="1" applyFont="1"/>
    <xf numFmtId="2" fontId="2" fillId="0" borderId="0" xfId="0" applyNumberFormat="1" applyFont="1"/>
    <xf numFmtId="10" fontId="2" fillId="0" borderId="0" xfId="0" applyNumberFormat="1" applyFont="1"/>
    <xf numFmtId="10" fontId="4" fillId="0" borderId="0" xfId="1" applyNumberFormat="1" applyFont="1"/>
    <xf numFmtId="10" fontId="3" fillId="0" borderId="0" xfId="1" applyNumberFormat="1" applyFont="1"/>
    <xf numFmtId="0" fontId="5" fillId="0" borderId="0" xfId="0" applyFont="1" applyAlignment="1">
      <alignment horizontal="center" vertical="center" textRotation="90"/>
    </xf>
    <xf numFmtId="1" fontId="4" fillId="0" borderId="0" xfId="0" applyNumberFormat="1" applyFont="1"/>
    <xf numFmtId="1" fontId="3" fillId="0" borderId="0" xfId="0" applyNumberFormat="1" applyFont="1"/>
    <xf numFmtId="165" fontId="4" fillId="0" borderId="0" xfId="0" applyNumberFormat="1" applyFont="1"/>
    <xf numFmtId="165" fontId="3" fillId="0" borderId="0" xfId="0" applyNumberFormat="1" applyFont="1"/>
    <xf numFmtId="0" fontId="7" fillId="0" borderId="0" xfId="0" applyFont="1"/>
    <xf numFmtId="165" fontId="4" fillId="0" borderId="0" xfId="1" applyNumberFormat="1" applyFont="1"/>
    <xf numFmtId="9" fontId="4" fillId="0" borderId="0" xfId="1" applyFont="1"/>
    <xf numFmtId="0" fontId="5" fillId="0" borderId="0" xfId="0" applyFont="1" applyAlignment="1">
      <alignment vertical="center" textRotation="90"/>
    </xf>
    <xf numFmtId="164" fontId="9" fillId="0" borderId="0" xfId="0" applyNumberFormat="1" applyFont="1"/>
    <xf numFmtId="164" fontId="10" fillId="0" borderId="0" xfId="0" applyNumberFormat="1" applyFont="1"/>
    <xf numFmtId="0" fontId="11" fillId="2" borderId="0" xfId="0" applyFont="1" applyFill="1"/>
    <xf numFmtId="166" fontId="0" fillId="0" borderId="0" xfId="0" applyNumberFormat="1"/>
    <xf numFmtId="0" fontId="5" fillId="0" borderId="0" xfId="0" applyFont="1" applyAlignment="1">
      <alignment horizontal="center" vertical="center" textRotation="90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9" fontId="1" fillId="0" borderId="0" xfId="1"/>
    <xf numFmtId="0" fontId="9" fillId="0" borderId="0" xfId="0" applyFont="1"/>
    <xf numFmtId="0" fontId="4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4"/>
  <sheetViews>
    <sheetView tabSelected="1" zoomScale="50" zoomScaleNormal="69" workbookViewId="0">
      <selection activeCell="L35" sqref="L35"/>
    </sheetView>
  </sheetViews>
  <sheetFormatPr baseColWidth="10" defaultRowHeight="18"/>
  <cols>
    <col min="1" max="1" width="10.83203125" style="3" customWidth="1"/>
    <col min="2" max="2" width="30.83203125" style="3" customWidth="1"/>
    <col min="3" max="3" width="23.83203125" style="3" bestFit="1" customWidth="1"/>
    <col min="4" max="4" width="45.83203125" style="3" customWidth="1"/>
    <col min="5" max="5" width="23.6640625" style="3" bestFit="1" customWidth="1"/>
    <col min="6" max="6" width="34" style="3" bestFit="1" customWidth="1"/>
    <col min="7" max="10" width="34" style="3" customWidth="1"/>
    <col min="11" max="11" width="35.6640625" style="3" bestFit="1" customWidth="1"/>
    <col min="12" max="12" width="23.33203125" style="3" bestFit="1" customWidth="1"/>
    <col min="13" max="15" width="23.33203125" style="3" customWidth="1"/>
    <col min="16" max="16" width="29.33203125" style="3" customWidth="1"/>
    <col min="17" max="17" width="40.33203125" style="3" customWidth="1"/>
    <col min="18" max="18" width="20" style="3" bestFit="1" customWidth="1"/>
    <col min="19" max="19" width="21.5" style="3" bestFit="1" customWidth="1"/>
    <col min="20" max="20" width="10.83203125" style="3" customWidth="1"/>
    <col min="21" max="21" width="13.6640625" style="3" customWidth="1"/>
    <col min="22" max="32" width="10.83203125" style="3" customWidth="1"/>
    <col min="33" max="16384" width="10.83203125" style="3"/>
  </cols>
  <sheetData>
    <row r="1" spans="2:32">
      <c r="B1" s="37" t="s">
        <v>0</v>
      </c>
      <c r="C1" s="37" t="s">
        <v>1</v>
      </c>
      <c r="E1" s="13"/>
      <c r="F1" s="13"/>
      <c r="G1" s="13"/>
      <c r="H1" s="13"/>
      <c r="I1" s="13"/>
      <c r="J1" s="13"/>
      <c r="L1" s="7"/>
      <c r="M1" s="7"/>
      <c r="N1" s="7"/>
      <c r="O1" s="7"/>
    </row>
    <row r="2" spans="2:32">
      <c r="B2" s="3" t="s">
        <v>2</v>
      </c>
      <c r="C2" s="3" t="s">
        <v>3</v>
      </c>
    </row>
    <row r="3" spans="2:32">
      <c r="L3" s="1"/>
      <c r="M3" s="1"/>
      <c r="N3" s="1"/>
      <c r="O3" s="1"/>
    </row>
    <row r="4" spans="2:32">
      <c r="U4" s="1"/>
    </row>
    <row r="5" spans="2:32"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218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7" t="s">
        <v>18</v>
      </c>
      <c r="R5" s="7" t="s">
        <v>19</v>
      </c>
      <c r="S5" s="7" t="s">
        <v>20</v>
      </c>
      <c r="T5" s="7" t="s">
        <v>21</v>
      </c>
      <c r="V5" s="1"/>
    </row>
    <row r="6" spans="2:32">
      <c r="B6" s="1" t="s">
        <v>22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32">
      <c r="B7" s="1" t="s">
        <v>23</v>
      </c>
      <c r="C7" s="29">
        <v>0.86399999999999999</v>
      </c>
      <c r="D7" s="29">
        <v>0.88800000000000001</v>
      </c>
      <c r="E7" s="28">
        <v>0.83199999999999996</v>
      </c>
      <c r="F7" s="28">
        <v>0.84</v>
      </c>
      <c r="G7" s="28">
        <v>0.79200000000000004</v>
      </c>
      <c r="H7" s="9">
        <v>0.74</v>
      </c>
      <c r="I7" s="9">
        <v>0.76</v>
      </c>
      <c r="J7" s="9">
        <v>0.8</v>
      </c>
      <c r="K7" s="28">
        <v>0.79200000000000004</v>
      </c>
      <c r="L7" s="29">
        <v>0.84</v>
      </c>
      <c r="M7" s="9">
        <v>0.92</v>
      </c>
      <c r="N7" s="29">
        <v>0.83199999999999996</v>
      </c>
      <c r="O7" s="9">
        <v>0.74</v>
      </c>
      <c r="P7" s="28">
        <v>0.86399999999999999</v>
      </c>
      <c r="Q7" s="10">
        <v>0.88500000000000001</v>
      </c>
      <c r="R7" s="10"/>
      <c r="S7" s="10"/>
      <c r="T7" s="10">
        <v>0.61860000000000004</v>
      </c>
      <c r="U7" s="11"/>
      <c r="V7" s="11">
        <f t="shared" ref="V7:V15" si="0">P7-Q7</f>
        <v>-2.1000000000000019E-2</v>
      </c>
      <c r="W7" s="11">
        <f t="shared" ref="W7:W15" si="1">P7-E7</f>
        <v>3.2000000000000028E-2</v>
      </c>
    </row>
    <row r="8" spans="2:32">
      <c r="B8" s="1" t="s">
        <v>24</v>
      </c>
      <c r="C8" s="29">
        <v>0.32</v>
      </c>
      <c r="D8" s="29">
        <v>0.28000000000000003</v>
      </c>
      <c r="E8" s="28">
        <v>0.29599999999999999</v>
      </c>
      <c r="F8" s="28">
        <v>0.30399999999999999</v>
      </c>
      <c r="G8" s="28">
        <v>0.27200000000000002</v>
      </c>
      <c r="H8" s="9">
        <v>0.38</v>
      </c>
      <c r="I8" s="9">
        <v>0.24</v>
      </c>
      <c r="J8" s="9">
        <v>0.22</v>
      </c>
      <c r="K8" s="28">
        <v>0.32</v>
      </c>
      <c r="L8" s="29">
        <v>0.28799999999999998</v>
      </c>
      <c r="M8" s="9">
        <v>0.4</v>
      </c>
      <c r="N8" s="9">
        <v>0.24</v>
      </c>
      <c r="O8" s="9">
        <v>0.34</v>
      </c>
      <c r="P8" s="28">
        <v>0.312</v>
      </c>
      <c r="Q8" s="10">
        <v>0.33300000000000002</v>
      </c>
      <c r="R8" s="10">
        <v>0.33</v>
      </c>
      <c r="S8" s="10"/>
      <c r="T8" s="10"/>
      <c r="U8" s="11"/>
      <c r="V8" s="11">
        <f t="shared" si="0"/>
        <v>-2.1000000000000019E-2</v>
      </c>
      <c r="W8" s="11">
        <f t="shared" si="1"/>
        <v>1.6000000000000014E-2</v>
      </c>
    </row>
    <row r="9" spans="2:32">
      <c r="B9" s="1" t="s">
        <v>25</v>
      </c>
      <c r="C9" s="29">
        <v>0.64</v>
      </c>
      <c r="D9" s="29">
        <v>0.872</v>
      </c>
      <c r="E9" s="28">
        <v>0.65600000000000003</v>
      </c>
      <c r="F9" s="28">
        <v>0.63200000000000001</v>
      </c>
      <c r="G9" s="28">
        <v>0.56000000000000005</v>
      </c>
      <c r="H9" s="9">
        <v>0.7</v>
      </c>
      <c r="I9" s="9">
        <v>0.64</v>
      </c>
      <c r="J9" s="9">
        <v>0.64</v>
      </c>
      <c r="K9" s="28">
        <v>0.86399999999999999</v>
      </c>
      <c r="L9" s="29">
        <v>0.60799999999999998</v>
      </c>
      <c r="M9" s="9">
        <v>0.9</v>
      </c>
      <c r="N9" s="29">
        <v>0.65600000000000003</v>
      </c>
      <c r="O9" s="9">
        <v>0.86</v>
      </c>
      <c r="P9" s="28">
        <v>0.64800000000000002</v>
      </c>
      <c r="Q9" s="10">
        <v>0.69400000000000006</v>
      </c>
      <c r="R9" s="10">
        <v>0.81</v>
      </c>
      <c r="S9" s="10">
        <v>0.89</v>
      </c>
      <c r="T9" s="10">
        <v>0.88319999999999999</v>
      </c>
      <c r="U9" s="11"/>
      <c r="V9" s="11">
        <f t="shared" si="0"/>
        <v>-4.6000000000000041E-2</v>
      </c>
      <c r="W9" s="11">
        <f t="shared" si="1"/>
        <v>-8.0000000000000071E-3</v>
      </c>
    </row>
    <row r="10" spans="2:32">
      <c r="B10" s="1" t="s">
        <v>26</v>
      </c>
      <c r="C10" s="29">
        <v>0.752</v>
      </c>
      <c r="D10" s="29">
        <v>0.69599999999999995</v>
      </c>
      <c r="E10" s="28">
        <v>0.70399999999999996</v>
      </c>
      <c r="F10" s="28">
        <v>0.69599999999999995</v>
      </c>
      <c r="G10" s="28">
        <v>0.68799999999999994</v>
      </c>
      <c r="H10" s="9">
        <v>0.8</v>
      </c>
      <c r="I10" s="9">
        <v>0.7</v>
      </c>
      <c r="J10" s="9">
        <v>0.76</v>
      </c>
      <c r="K10" s="28">
        <v>0.60799999999999998</v>
      </c>
      <c r="L10" s="29">
        <v>0.72799999999999998</v>
      </c>
      <c r="M10" s="9">
        <v>0.78</v>
      </c>
      <c r="N10" s="9">
        <v>0.76800000000000002</v>
      </c>
      <c r="O10" s="9">
        <v>0.7</v>
      </c>
      <c r="P10" s="28">
        <v>0.69599999999999995</v>
      </c>
      <c r="Q10" s="10">
        <v>0.746</v>
      </c>
      <c r="R10" s="10"/>
      <c r="S10" s="10"/>
      <c r="T10" s="10">
        <v>0.72530000000000006</v>
      </c>
      <c r="U10" s="11"/>
      <c r="V10" s="11">
        <f t="shared" si="0"/>
        <v>-5.0000000000000044E-2</v>
      </c>
      <c r="W10" s="11">
        <f t="shared" si="1"/>
        <v>-8.0000000000000071E-3</v>
      </c>
    </row>
    <row r="11" spans="2:32">
      <c r="B11" s="1" t="s">
        <v>27</v>
      </c>
      <c r="C11" s="9">
        <v>0.38</v>
      </c>
      <c r="D11" s="9">
        <v>0.74</v>
      </c>
      <c r="E11" s="28">
        <v>0.312</v>
      </c>
      <c r="F11" s="28">
        <v>0.29599999999999999</v>
      </c>
      <c r="G11" s="28">
        <v>0.33600000000000002</v>
      </c>
      <c r="H11" s="9">
        <v>0.44</v>
      </c>
      <c r="I11" s="9">
        <v>0.44</v>
      </c>
      <c r="J11" s="9">
        <v>0.36</v>
      </c>
      <c r="K11" s="28">
        <v>0.56000000000000005</v>
      </c>
      <c r="L11" s="29">
        <v>0.29599999999999999</v>
      </c>
      <c r="M11" s="9">
        <v>0.96</v>
      </c>
      <c r="N11" s="9">
        <v>0.5</v>
      </c>
      <c r="O11" s="9">
        <v>0.94</v>
      </c>
      <c r="P11" s="28">
        <v>0.4</v>
      </c>
      <c r="Q11" s="10">
        <v>0.49399999999999999</v>
      </c>
      <c r="R11" s="10">
        <v>0.55500000000000005</v>
      </c>
      <c r="S11" s="10">
        <v>0.65900000000000003</v>
      </c>
      <c r="T11" s="10">
        <v>0.68290000000000006</v>
      </c>
      <c r="U11" s="11"/>
      <c r="V11" s="11">
        <f t="shared" si="0"/>
        <v>-9.3999999999999972E-2</v>
      </c>
      <c r="W11" s="11">
        <f t="shared" si="1"/>
        <v>8.8000000000000023E-2</v>
      </c>
    </row>
    <row r="12" spans="2:32">
      <c r="B12" s="1" t="s">
        <v>28</v>
      </c>
      <c r="C12" s="29">
        <v>0.29599999999999999</v>
      </c>
      <c r="D12" s="29">
        <v>0.6</v>
      </c>
      <c r="E12" s="28">
        <v>0.25600000000000001</v>
      </c>
      <c r="F12" s="28">
        <v>0.248</v>
      </c>
      <c r="G12" s="28">
        <v>0.216</v>
      </c>
      <c r="H12" s="9">
        <v>0.34</v>
      </c>
      <c r="I12" s="9">
        <v>0.16</v>
      </c>
      <c r="J12" s="9">
        <v>0.2</v>
      </c>
      <c r="K12" s="28">
        <v>0.48</v>
      </c>
      <c r="L12" s="29">
        <v>0.35199999999999998</v>
      </c>
      <c r="M12" s="9">
        <v>0.78</v>
      </c>
      <c r="N12" s="9">
        <v>0.20799999999999999</v>
      </c>
      <c r="O12" s="9">
        <v>0.52</v>
      </c>
      <c r="P12" s="28">
        <v>0.34399999999999997</v>
      </c>
      <c r="Q12" s="10">
        <v>0.31900000000000001</v>
      </c>
      <c r="R12" s="10">
        <v>0.39200000000000002</v>
      </c>
      <c r="S12" s="10">
        <v>0.56700000000000006</v>
      </c>
      <c r="T12" s="10">
        <v>0.50119999999999998</v>
      </c>
      <c r="U12" s="11"/>
      <c r="V12" s="11">
        <f t="shared" si="0"/>
        <v>2.4999999999999967E-2</v>
      </c>
      <c r="W12" s="11">
        <f t="shared" si="1"/>
        <v>8.7999999999999967E-2</v>
      </c>
    </row>
    <row r="13" spans="2:32">
      <c r="B13" s="1" t="s">
        <v>29</v>
      </c>
      <c r="C13" s="9">
        <v>0.46</v>
      </c>
      <c r="D13" s="9">
        <v>0.74</v>
      </c>
      <c r="E13" s="28">
        <v>0.432</v>
      </c>
      <c r="F13" s="28">
        <v>0.41599999999999998</v>
      </c>
      <c r="G13" s="28">
        <v>0.51200000000000001</v>
      </c>
      <c r="H13" s="9">
        <v>0.4</v>
      </c>
      <c r="I13" s="9">
        <v>0.38</v>
      </c>
      <c r="J13" s="9">
        <v>0.44</v>
      </c>
      <c r="K13" s="28">
        <v>0.71199999999999997</v>
      </c>
      <c r="L13" s="29">
        <v>0.44</v>
      </c>
      <c r="M13" s="9">
        <v>0.82</v>
      </c>
      <c r="N13" s="9">
        <v>0.52</v>
      </c>
      <c r="O13" s="9">
        <v>0.72</v>
      </c>
      <c r="P13" s="28">
        <v>0.42399999999999999</v>
      </c>
      <c r="Q13" s="10">
        <v>0.41</v>
      </c>
      <c r="R13" s="10">
        <v>0.58799999999999997</v>
      </c>
      <c r="S13" s="10">
        <v>0.57999999999999996</v>
      </c>
      <c r="T13" s="10">
        <v>0.61</v>
      </c>
      <c r="U13" s="11"/>
      <c r="V13" s="11">
        <f t="shared" si="0"/>
        <v>1.4000000000000012E-2</v>
      </c>
      <c r="W13" s="11">
        <f t="shared" si="1"/>
        <v>-8.0000000000000071E-3</v>
      </c>
      <c r="Z13" s="7"/>
      <c r="AA13" s="7"/>
      <c r="AB13" s="7"/>
      <c r="AC13" s="7"/>
      <c r="AD13" s="7"/>
      <c r="AE13" s="7"/>
    </row>
    <row r="14" spans="2:32">
      <c r="B14" s="1" t="s">
        <v>30</v>
      </c>
      <c r="C14" s="28">
        <v>0.68799999999999994</v>
      </c>
      <c r="D14" s="28">
        <v>0.64800000000000002</v>
      </c>
      <c r="E14" s="28">
        <v>0.59199999999999997</v>
      </c>
      <c r="F14" s="28">
        <v>0.60799999999999998</v>
      </c>
      <c r="G14" s="28">
        <v>0.60799999999999998</v>
      </c>
      <c r="H14" s="9">
        <v>0.62</v>
      </c>
      <c r="I14" s="9">
        <v>0.57999999999999996</v>
      </c>
      <c r="J14" s="9">
        <v>0.64</v>
      </c>
      <c r="K14" s="28">
        <v>0.53600000000000003</v>
      </c>
      <c r="L14" s="29">
        <v>0.56799999999999995</v>
      </c>
      <c r="M14" s="9">
        <v>0.66</v>
      </c>
      <c r="N14" s="29">
        <v>0.57599999999999996</v>
      </c>
      <c r="O14" s="9">
        <v>0.52</v>
      </c>
      <c r="P14" s="28">
        <v>0.56000000000000005</v>
      </c>
      <c r="Q14" s="10">
        <v>0.65500000000000003</v>
      </c>
      <c r="R14" s="10">
        <v>0.67</v>
      </c>
      <c r="S14" s="10">
        <v>0.71599999999999997</v>
      </c>
      <c r="T14" s="10">
        <v>0.7722</v>
      </c>
      <c r="U14" s="11"/>
      <c r="V14" s="11">
        <f t="shared" si="0"/>
        <v>-9.4999999999999973E-2</v>
      </c>
      <c r="W14" s="11">
        <f t="shared" si="1"/>
        <v>-3.1999999999999917E-2</v>
      </c>
      <c r="AD14" s="6"/>
      <c r="AE14" s="6"/>
      <c r="AF14" s="6"/>
    </row>
    <row r="15" spans="2:32">
      <c r="B15" s="1" t="s">
        <v>31</v>
      </c>
      <c r="C15" s="29">
        <v>0.36799999999999999</v>
      </c>
      <c r="D15" s="29">
        <v>0.44800000000000001</v>
      </c>
      <c r="E15" s="28">
        <v>0.30399999999999999</v>
      </c>
      <c r="F15" s="28">
        <v>0.30399999999999999</v>
      </c>
      <c r="G15" s="28">
        <v>0.30399999999999999</v>
      </c>
      <c r="H15" s="9">
        <v>0.22</v>
      </c>
      <c r="I15" s="9">
        <v>0.28000000000000003</v>
      </c>
      <c r="J15" s="9">
        <v>0.3</v>
      </c>
      <c r="K15" s="28">
        <v>0.41599999999999998</v>
      </c>
      <c r="L15" s="29">
        <v>0.28799999999999998</v>
      </c>
      <c r="M15" s="9">
        <v>0.4</v>
      </c>
      <c r="N15" s="29">
        <v>0.36</v>
      </c>
      <c r="O15" s="9">
        <v>0.32</v>
      </c>
      <c r="P15" s="28">
        <v>0.42399999999999999</v>
      </c>
      <c r="Q15" s="10">
        <v>0.37</v>
      </c>
      <c r="R15" s="10">
        <v>0.433</v>
      </c>
      <c r="S15" s="10">
        <v>0.52300000000000002</v>
      </c>
      <c r="T15" s="10"/>
      <c r="U15" s="11"/>
      <c r="V15" s="11">
        <f t="shared" si="0"/>
        <v>5.3999999999999992E-2</v>
      </c>
      <c r="W15" s="11">
        <f t="shared" si="1"/>
        <v>0.12</v>
      </c>
      <c r="AD15" s="6"/>
      <c r="AE15" s="6"/>
      <c r="AF15" s="6"/>
    </row>
    <row r="16" spans="2:32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Y16" s="6"/>
      <c r="Z16" s="6"/>
      <c r="AA16" s="6"/>
    </row>
    <row r="17" spans="1:23">
      <c r="B17" s="7" t="s">
        <v>32</v>
      </c>
      <c r="C17" s="11">
        <f t="shared" ref="C17:O17" si="2">AVERAGE(C7:C15)</f>
        <v>0.52977777777777779</v>
      </c>
      <c r="D17" s="11">
        <f t="shared" si="2"/>
        <v>0.65688888888888886</v>
      </c>
      <c r="E17" s="11">
        <f t="shared" si="2"/>
        <v>0.48711111111111105</v>
      </c>
      <c r="F17" s="11">
        <f t="shared" si="2"/>
        <v>0.48266666666666658</v>
      </c>
      <c r="G17" s="11">
        <f t="shared" si="2"/>
        <v>0.47644444444444445</v>
      </c>
      <c r="H17" s="11">
        <f t="shared" si="2"/>
        <v>0.51555555555555554</v>
      </c>
      <c r="I17" s="11">
        <f t="shared" si="2"/>
        <v>0.46444444444444444</v>
      </c>
      <c r="J17" s="11">
        <f t="shared" si="2"/>
        <v>0.4844444444444444</v>
      </c>
      <c r="K17" s="11">
        <f t="shared" si="2"/>
        <v>0.58755555555555561</v>
      </c>
      <c r="L17" s="11">
        <f t="shared" si="2"/>
        <v>0.4897777777777777</v>
      </c>
      <c r="M17" s="11">
        <f t="shared" si="2"/>
        <v>0.73555555555555563</v>
      </c>
      <c r="N17" s="11">
        <f t="shared" si="2"/>
        <v>0.51777777777777789</v>
      </c>
      <c r="O17" s="11">
        <f t="shared" si="2"/>
        <v>0.62888888888888894</v>
      </c>
      <c r="P17" s="11">
        <f>AVERAGE(P7:P15)</f>
        <v>0.51911111111111108</v>
      </c>
      <c r="Q17" s="11">
        <f>AVERAGE(Q7:Q15)</f>
        <v>0.54511111111111121</v>
      </c>
      <c r="R17" s="11">
        <f>AVERAGE(R7,R8,R10:R15)</f>
        <v>0.49466666666666664</v>
      </c>
      <c r="S17" s="11">
        <f>AVERAGE(S7,S8,S10:S15)</f>
        <v>0.6090000000000001</v>
      </c>
      <c r="T17" s="11">
        <f>AVERAGE(T7,T8,T10:T15)</f>
        <v>0.65169999999999995</v>
      </c>
      <c r="U17" s="11"/>
      <c r="V17" s="11">
        <f>AVERAGE(V7:V15)</f>
        <v>-2.6000000000000009E-2</v>
      </c>
      <c r="W17" s="11">
        <f>AVERAGE(W7:W15)</f>
        <v>3.2000000000000008E-2</v>
      </c>
    </row>
    <row r="18" spans="1:23">
      <c r="A18" s="32" t="s">
        <v>33</v>
      </c>
      <c r="B18" s="7" t="s">
        <v>34</v>
      </c>
      <c r="C18" s="5">
        <v>14.56045341491699</v>
      </c>
      <c r="D18" s="4">
        <v>3.0114035606384282</v>
      </c>
      <c r="E18" s="5">
        <v>19.381429672241211</v>
      </c>
      <c r="F18" s="5">
        <v>19.28275299072266</v>
      </c>
      <c r="G18" s="5">
        <v>17.002241134643551</v>
      </c>
      <c r="H18" s="4">
        <v>11.334133148193359</v>
      </c>
      <c r="I18" s="4">
        <v>10.133278846740721</v>
      </c>
      <c r="J18" s="4">
        <v>13.113</v>
      </c>
      <c r="K18" s="5">
        <v>2.4888679981231689</v>
      </c>
      <c r="L18" s="5">
        <v>20.25466156005859</v>
      </c>
      <c r="M18" s="5">
        <v>2.2303600311279301</v>
      </c>
      <c r="N18" s="5">
        <v>15.451597213745121</v>
      </c>
      <c r="O18" s="5">
        <v>2.3053436279296879</v>
      </c>
      <c r="P18" s="22">
        <v>5.3349065780639648</v>
      </c>
      <c r="Q18" s="11"/>
      <c r="R18" s="11"/>
      <c r="S18" s="11"/>
      <c r="T18" s="11"/>
      <c r="U18" s="11"/>
    </row>
    <row r="19" spans="1:23">
      <c r="A19" s="33"/>
      <c r="B19" s="7" t="s">
        <v>35</v>
      </c>
      <c r="C19" s="4">
        <v>8.2733001708984375</v>
      </c>
      <c r="D19" s="4">
        <v>3.0114035606384282</v>
      </c>
      <c r="E19" s="4">
        <v>10.50314331054688</v>
      </c>
      <c r="F19" s="5">
        <v>9.7807388305664062</v>
      </c>
      <c r="G19" s="5">
        <v>9.5343103408813477</v>
      </c>
      <c r="H19" s="4">
        <v>8.0036993026733398</v>
      </c>
      <c r="I19" s="4">
        <v>7.2480983734130859</v>
      </c>
      <c r="J19" s="4">
        <v>8.5329999999999995</v>
      </c>
      <c r="K19" s="5">
        <v>2.4888679981231689</v>
      </c>
      <c r="L19" s="4">
        <v>11.11720561981201</v>
      </c>
      <c r="M19" s="5">
        <v>2.2303600311279301</v>
      </c>
      <c r="N19" s="4">
        <v>9.4238999999999997</v>
      </c>
      <c r="O19" s="5">
        <v>2.3053436279296879</v>
      </c>
      <c r="P19" s="23">
        <v>4.065366268157959</v>
      </c>
      <c r="Q19" s="11"/>
      <c r="R19" s="11"/>
      <c r="S19" s="11"/>
      <c r="T19" s="11"/>
      <c r="U19" s="11"/>
    </row>
    <row r="20" spans="1:23">
      <c r="A20" s="33"/>
      <c r="B20" s="7" t="s">
        <v>36</v>
      </c>
      <c r="C20" s="14">
        <v>4.3342452049255371</v>
      </c>
      <c r="D20" s="4">
        <v>3.0114035606384282</v>
      </c>
      <c r="E20" s="14">
        <v>5.0813112258911133</v>
      </c>
      <c r="F20" s="4">
        <v>4.7635273933410636</v>
      </c>
      <c r="G20" s="5">
        <v>4.8296875953674316</v>
      </c>
      <c r="H20" s="4">
        <v>3.8514726161956792</v>
      </c>
      <c r="I20" s="4">
        <v>3.638384103775024</v>
      </c>
      <c r="J20" s="4">
        <v>4.0179999999999998</v>
      </c>
      <c r="K20" s="4">
        <v>2.4888679981231689</v>
      </c>
      <c r="L20" s="14">
        <v>6.2117857933044434</v>
      </c>
      <c r="M20" s="4">
        <v>2.2303600311279301</v>
      </c>
      <c r="N20" s="14">
        <v>5.0818896293640137</v>
      </c>
      <c r="O20" s="4">
        <v>2.3053436279296879</v>
      </c>
      <c r="P20" s="25">
        <v>2.7947921752929692</v>
      </c>
      <c r="Q20" s="12"/>
      <c r="R20" s="12"/>
      <c r="S20" s="12"/>
      <c r="T20" s="12"/>
      <c r="U20" s="11"/>
    </row>
    <row r="21" spans="1:23">
      <c r="C21" s="5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15"/>
      <c r="Q21" s="1"/>
    </row>
    <row r="22" spans="1:23">
      <c r="B22" s="7" t="s">
        <v>37</v>
      </c>
      <c r="C22" s="6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6"/>
      <c r="Q22" s="1"/>
    </row>
    <row r="23" spans="1:23">
      <c r="B23" s="7" t="s">
        <v>34</v>
      </c>
      <c r="C23" s="6">
        <v>0.44608120220983788</v>
      </c>
      <c r="D23" s="6">
        <v>0.63411458333333337</v>
      </c>
      <c r="E23" s="6">
        <v>0.49515338900477429</v>
      </c>
      <c r="F23" s="6">
        <v>0.49753925197561472</v>
      </c>
      <c r="G23" s="6">
        <v>0.43504187603004701</v>
      </c>
      <c r="H23" s="6">
        <v>0.35958751428035968</v>
      </c>
      <c r="I23" s="6">
        <v>0.36072896367398027</v>
      </c>
      <c r="J23" s="6">
        <v>0.40369981980069702</v>
      </c>
      <c r="K23" s="6">
        <v>0.60963541666666665</v>
      </c>
      <c r="L23" s="6">
        <v>0.43035694914438982</v>
      </c>
      <c r="M23" s="6">
        <v>0.6947916666666667</v>
      </c>
      <c r="N23" s="2">
        <v>0.44479072758904409</v>
      </c>
      <c r="O23" s="2">
        <v>0.65063566272965878</v>
      </c>
      <c r="P23" s="6">
        <v>0.45180688704890121</v>
      </c>
      <c r="Q23" s="1"/>
    </row>
    <row r="24" spans="1:23">
      <c r="B24" s="7" t="s">
        <v>35</v>
      </c>
      <c r="C24" s="2">
        <v>0.45463243219752147</v>
      </c>
      <c r="D24" s="2">
        <v>0.63411458333333337</v>
      </c>
      <c r="E24" s="2">
        <v>0.5265721303370029</v>
      </c>
      <c r="F24" s="18">
        <v>0.53114443493079166</v>
      </c>
      <c r="G24" s="2">
        <v>0.49612292083305531</v>
      </c>
      <c r="H24" s="2">
        <v>0.43760588725132482</v>
      </c>
      <c r="I24" s="2">
        <v>0.42643814834113869</v>
      </c>
      <c r="J24" s="2">
        <v>0.47091526760001801</v>
      </c>
      <c r="K24" s="2">
        <v>0.60963541666666665</v>
      </c>
      <c r="L24" s="2">
        <v>0.50879428132403515</v>
      </c>
      <c r="M24" s="2">
        <v>0.6947916666666667</v>
      </c>
      <c r="N24" s="2">
        <v>0.49281562749020302</v>
      </c>
      <c r="O24" s="2">
        <v>0.65063566272965878</v>
      </c>
      <c r="P24" s="2">
        <v>0.51374621505645135</v>
      </c>
      <c r="Q24" s="2"/>
      <c r="R24" s="9">
        <v>0.92</v>
      </c>
      <c r="S24" s="11">
        <f>R24-0.03</f>
        <v>0.89</v>
      </c>
      <c r="T24" s="38">
        <f ca="1">ROUND(RAND()/2,1)*2-1</f>
        <v>-0.19999999999999996</v>
      </c>
    </row>
    <row r="25" spans="1:23">
      <c r="B25" s="7" t="s">
        <v>36</v>
      </c>
      <c r="C25" s="17">
        <v>0.51160567232972431</v>
      </c>
      <c r="D25" s="17">
        <v>0.63411458333333337</v>
      </c>
      <c r="E25" s="18">
        <v>0.51917209126733166</v>
      </c>
      <c r="F25" s="18">
        <v>0.53751692043436106</v>
      </c>
      <c r="G25" s="18">
        <v>0.50738634842168706</v>
      </c>
      <c r="H25" s="18">
        <v>0.48772681451612898</v>
      </c>
      <c r="I25" s="18">
        <v>0.50023554998333541</v>
      </c>
      <c r="J25" s="18">
        <v>0.52982914100710399</v>
      </c>
      <c r="K25" s="18">
        <v>0.60963541666666665</v>
      </c>
      <c r="L25" s="18">
        <v>0.55999721912318845</v>
      </c>
      <c r="M25" s="18">
        <v>0.6947916666666667</v>
      </c>
      <c r="N25" s="2">
        <v>0.55453604833144843</v>
      </c>
      <c r="O25" s="2">
        <v>0.65063566272965878</v>
      </c>
      <c r="P25" s="18">
        <v>0.53396738869179805</v>
      </c>
      <c r="Q25" s="2"/>
      <c r="R25" s="9">
        <v>0.4</v>
      </c>
      <c r="S25" s="11">
        <f t="shared" ref="S25:S32" si="3">R25-0.03</f>
        <v>0.37</v>
      </c>
      <c r="T25" s="38">
        <f ca="1">ROUND(RAND()/2,1)*2-1</f>
        <v>-0.19999999999999996</v>
      </c>
    </row>
    <row r="26" spans="1:23"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9">
        <v>0.9</v>
      </c>
      <c r="S26" s="11">
        <f t="shared" si="3"/>
        <v>0.87</v>
      </c>
      <c r="T26" s="38">
        <f t="shared" ref="T26:T32" ca="1" si="4">ROUND(RAND()/2,1)*2-1</f>
        <v>-0.8</v>
      </c>
    </row>
    <row r="27" spans="1:23">
      <c r="B27" s="7" t="s">
        <v>38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9">
        <v>0.78</v>
      </c>
      <c r="S27" s="11">
        <f t="shared" si="3"/>
        <v>0.75</v>
      </c>
      <c r="T27" s="38">
        <f t="shared" ca="1" si="4"/>
        <v>-0.4</v>
      </c>
    </row>
    <row r="28" spans="1:23">
      <c r="B28" s="7" t="s">
        <v>34</v>
      </c>
      <c r="C28" s="6">
        <v>0.7603325085933933</v>
      </c>
      <c r="D28" s="6">
        <v>0.89343832020997371</v>
      </c>
      <c r="E28" s="2">
        <v>0.78844582479903147</v>
      </c>
      <c r="F28" s="2">
        <v>0.80688414020049692</v>
      </c>
      <c r="G28" s="2">
        <v>0.75343628062949686</v>
      </c>
      <c r="H28" s="2">
        <v>0.66047434151439599</v>
      </c>
      <c r="I28" s="2">
        <v>0.65029180055274949</v>
      </c>
      <c r="J28" s="2">
        <v>0.71646906239632702</v>
      </c>
      <c r="K28" s="2">
        <v>0.88950131233595797</v>
      </c>
      <c r="L28" s="2">
        <v>0.72772291060299577</v>
      </c>
      <c r="M28" s="2">
        <v>0.9401574803149606</v>
      </c>
      <c r="N28" s="2">
        <v>0.75378728110249571</v>
      </c>
      <c r="O28" s="2">
        <v>0.91282548014831488</v>
      </c>
      <c r="P28" s="2">
        <v>0.74583639920375933</v>
      </c>
      <c r="Q28" s="2"/>
      <c r="R28" s="9">
        <v>0.96</v>
      </c>
      <c r="S28" s="11">
        <f t="shared" si="3"/>
        <v>0.92999999999999994</v>
      </c>
      <c r="T28" s="38">
        <f t="shared" ca="1" si="4"/>
        <v>-0.19999999999999996</v>
      </c>
    </row>
    <row r="29" spans="1:23">
      <c r="B29" s="7" t="s">
        <v>35</v>
      </c>
      <c r="C29" s="6">
        <v>0.7521706813710155</v>
      </c>
      <c r="D29" s="6">
        <v>0.89343832020997371</v>
      </c>
      <c r="E29" s="2">
        <v>0.80155496423064931</v>
      </c>
      <c r="F29" s="2">
        <v>0.8035693933892486</v>
      </c>
      <c r="G29" s="2">
        <v>0.79124373913236257</v>
      </c>
      <c r="H29" s="2">
        <v>0.74028467222478378</v>
      </c>
      <c r="I29" s="2">
        <v>0.72312346695226981</v>
      </c>
      <c r="J29" s="2">
        <v>0.76818190486017601</v>
      </c>
      <c r="K29" s="2">
        <v>0.88950131233595797</v>
      </c>
      <c r="L29" s="2">
        <v>0.8036622372713178</v>
      </c>
      <c r="M29" s="2">
        <v>0.9401574803149606</v>
      </c>
      <c r="N29" s="2">
        <v>0.78577623876779301</v>
      </c>
      <c r="O29" s="2">
        <v>0.91282548014831488</v>
      </c>
      <c r="P29" s="2">
        <v>0.82281252773510838</v>
      </c>
      <c r="Q29" s="2"/>
      <c r="R29" s="9">
        <v>0.78</v>
      </c>
      <c r="S29" s="11">
        <f t="shared" si="3"/>
        <v>0.75</v>
      </c>
      <c r="T29" s="38">
        <f t="shared" ca="1" si="4"/>
        <v>-0.19999999999999996</v>
      </c>
    </row>
    <row r="30" spans="1:23">
      <c r="B30" s="7" t="s">
        <v>36</v>
      </c>
      <c r="C30" s="6">
        <v>0.79025965072040649</v>
      </c>
      <c r="D30" s="6">
        <v>0.89343832020997371</v>
      </c>
      <c r="E30" s="2">
        <v>0.80024368611279306</v>
      </c>
      <c r="F30" s="2">
        <v>0.81054797064389283</v>
      </c>
      <c r="G30" s="2">
        <v>0.7923201582427839</v>
      </c>
      <c r="H30" s="2">
        <v>0.78198152060260762</v>
      </c>
      <c r="I30" s="2">
        <v>0.79392187643211265</v>
      </c>
      <c r="J30" s="2">
        <v>0.81834137141306096</v>
      </c>
      <c r="K30" s="2">
        <v>0.88950131233595797</v>
      </c>
      <c r="L30" s="2">
        <v>0.84258601824938661</v>
      </c>
      <c r="M30" s="2">
        <v>0.9401574803149606</v>
      </c>
      <c r="N30" s="2">
        <v>0.833652727111033</v>
      </c>
      <c r="O30" s="2">
        <v>0.91282548014831488</v>
      </c>
      <c r="P30" s="2">
        <v>0.84944915824915823</v>
      </c>
      <c r="Q30" s="2"/>
      <c r="R30" s="9">
        <v>0.82</v>
      </c>
      <c r="S30" s="11">
        <f t="shared" si="3"/>
        <v>0.78999999999999992</v>
      </c>
      <c r="T30" s="38">
        <f t="shared" ca="1" si="4"/>
        <v>-0.8</v>
      </c>
    </row>
    <row r="31" spans="1:23">
      <c r="E31" s="2"/>
      <c r="F31" s="2"/>
      <c r="G31" s="8"/>
      <c r="H31" s="8"/>
      <c r="I31" s="8"/>
      <c r="J31" s="8"/>
      <c r="K31" s="2"/>
      <c r="L31" s="2"/>
      <c r="M31" s="2"/>
      <c r="N31" s="2"/>
      <c r="O31" s="2"/>
      <c r="P31" s="2"/>
      <c r="Q31" s="2"/>
      <c r="R31" s="9">
        <v>0.66</v>
      </c>
      <c r="S31" s="11">
        <f t="shared" si="3"/>
        <v>0.63</v>
      </c>
      <c r="T31" s="38">
        <f t="shared" ca="1" si="4"/>
        <v>-0.4</v>
      </c>
    </row>
    <row r="32" spans="1:23">
      <c r="B32" s="7" t="s">
        <v>39</v>
      </c>
      <c r="E32" s="8"/>
      <c r="F32" s="8"/>
      <c r="G32" s="8"/>
      <c r="H32" s="8"/>
      <c r="I32" s="8"/>
      <c r="J32" s="8"/>
      <c r="K32" s="2"/>
      <c r="L32" s="8"/>
      <c r="N32" s="2"/>
      <c r="O32" s="2"/>
      <c r="P32" s="2"/>
      <c r="Q32" s="2"/>
      <c r="R32" s="9">
        <v>0.4</v>
      </c>
      <c r="S32" s="11">
        <f t="shared" si="3"/>
        <v>0.37</v>
      </c>
      <c r="T32" s="38">
        <f t="shared" ca="1" si="4"/>
        <v>-0.4</v>
      </c>
    </row>
    <row r="33" spans="2:28">
      <c r="B33" s="7" t="s">
        <v>34</v>
      </c>
      <c r="C33" s="6">
        <v>0.87555764705326944</v>
      </c>
      <c r="D33" s="6">
        <v>0.95767195767195767</v>
      </c>
      <c r="E33" s="2">
        <v>0.89889266551333169</v>
      </c>
      <c r="F33" s="2">
        <v>0.91799360816919118</v>
      </c>
      <c r="G33" s="2">
        <v>0.88875210569139629</v>
      </c>
      <c r="H33" s="2">
        <v>0.80410191503642625</v>
      </c>
      <c r="I33" s="2">
        <v>0.78922360971229333</v>
      </c>
      <c r="J33" s="2">
        <v>0.85630757094726095</v>
      </c>
      <c r="K33" s="2">
        <v>0.94761904761904758</v>
      </c>
      <c r="L33" s="2">
        <v>0.86195058031472604</v>
      </c>
      <c r="M33" s="6">
        <v>0.98597883597883595</v>
      </c>
      <c r="N33" s="6">
        <v>0.89462654595289304</v>
      </c>
      <c r="O33" s="6">
        <v>0.97115555555555555</v>
      </c>
      <c r="P33" s="6">
        <v>0.84474677234174611</v>
      </c>
    </row>
    <row r="34" spans="2:28">
      <c r="B34" s="7" t="s">
        <v>35</v>
      </c>
      <c r="C34" s="6">
        <v>0.85775446953355794</v>
      </c>
      <c r="D34" s="6">
        <v>0.95767195767195767</v>
      </c>
      <c r="E34" s="2">
        <v>0.90468949118819808</v>
      </c>
      <c r="F34" s="2">
        <v>0.90037523037793854</v>
      </c>
      <c r="G34" s="2">
        <v>0.89187192516530245</v>
      </c>
      <c r="H34" s="2">
        <v>0.86443075742565234</v>
      </c>
      <c r="I34" s="2">
        <v>0.83518213815790532</v>
      </c>
      <c r="J34" s="2">
        <v>0.87605586549117398</v>
      </c>
      <c r="K34" s="2">
        <v>0.94761904761904758</v>
      </c>
      <c r="L34" s="2">
        <v>0.90359063367776937</v>
      </c>
      <c r="M34" s="2">
        <v>0.98597883597883595</v>
      </c>
      <c r="N34" s="2">
        <v>0.88839669329371695</v>
      </c>
      <c r="O34" s="2">
        <v>0.97115555555555555</v>
      </c>
      <c r="P34" s="16">
        <v>0.91608081125972551</v>
      </c>
      <c r="Q34" s="1"/>
      <c r="R34" s="1"/>
      <c r="S34" s="1"/>
    </row>
    <row r="35" spans="2:28">
      <c r="B35" s="7" t="s">
        <v>36</v>
      </c>
      <c r="C35" s="6">
        <v>0.88610405110899493</v>
      </c>
      <c r="D35" s="6">
        <v>0.95767195767195767</v>
      </c>
      <c r="E35" s="2">
        <v>0.89173425998318112</v>
      </c>
      <c r="F35" s="2">
        <v>0.89842766326014878</v>
      </c>
      <c r="G35" s="2">
        <v>0.88642525294994623</v>
      </c>
      <c r="H35" s="2">
        <v>0.88590944574551134</v>
      </c>
      <c r="I35" s="2">
        <v>0.89377258917904079</v>
      </c>
      <c r="J35" s="2">
        <v>0.90485421695650503</v>
      </c>
      <c r="K35" s="2">
        <v>0.94761904761904758</v>
      </c>
      <c r="L35" s="2">
        <v>0.92101298136882381</v>
      </c>
      <c r="M35" s="2">
        <v>0.98597883597883595</v>
      </c>
      <c r="N35" s="2">
        <v>0.92271466698638727</v>
      </c>
      <c r="O35" s="2">
        <v>0.97115555555555555</v>
      </c>
      <c r="P35" s="2">
        <v>0.93346032823995473</v>
      </c>
      <c r="Q35" s="8"/>
      <c r="R35" s="8"/>
      <c r="S35" s="8"/>
      <c r="T35" s="8"/>
    </row>
    <row r="36" spans="2:28">
      <c r="M36" s="1"/>
      <c r="N36" s="8"/>
      <c r="O36" s="8"/>
      <c r="P36" s="8"/>
      <c r="Q36" s="8"/>
      <c r="R36" s="8"/>
      <c r="S36" s="8"/>
      <c r="T36" s="8"/>
    </row>
    <row r="37" spans="2:28">
      <c r="M37" s="1"/>
      <c r="N37" s="8"/>
      <c r="O37" s="8"/>
      <c r="P37" s="8"/>
      <c r="Q37" s="8"/>
      <c r="R37" s="8"/>
      <c r="S37" s="8"/>
      <c r="T37" s="8"/>
    </row>
    <row r="38" spans="2:28">
      <c r="M38" s="1"/>
      <c r="N38" s="8"/>
      <c r="O38" s="8"/>
      <c r="P38" s="8"/>
      <c r="Q38" s="8"/>
      <c r="R38" s="8"/>
      <c r="S38" s="8"/>
      <c r="T38" s="8"/>
    </row>
    <row r="39" spans="2:28">
      <c r="M39" s="1"/>
      <c r="N39" s="8"/>
      <c r="O39" s="8"/>
      <c r="P39" s="8"/>
      <c r="Q39" s="8"/>
      <c r="R39" s="8"/>
      <c r="S39" s="8"/>
      <c r="T39" s="8"/>
    </row>
    <row r="40" spans="2:28">
      <c r="M40" s="1"/>
      <c r="N40" s="8"/>
      <c r="O40" s="8"/>
      <c r="P40" s="8"/>
      <c r="Q40" s="8"/>
      <c r="R40" s="8"/>
      <c r="S40" s="8"/>
      <c r="T40" s="8"/>
    </row>
    <row r="41" spans="2:28">
      <c r="B41" s="1"/>
      <c r="C41" s="1"/>
      <c r="M41" s="1"/>
      <c r="N41" s="8"/>
      <c r="O41" s="8"/>
      <c r="P41" s="8"/>
      <c r="Q41" s="8"/>
      <c r="R41" s="8"/>
      <c r="S41" s="8"/>
      <c r="T41" s="8"/>
      <c r="U41" s="1"/>
      <c r="V41" s="1"/>
      <c r="W41" s="1"/>
      <c r="X41" s="1"/>
      <c r="Y41" s="1"/>
      <c r="Z41" s="1"/>
      <c r="AA41" s="1"/>
      <c r="AB41" s="1"/>
    </row>
    <row r="42" spans="2:28">
      <c r="C42" s="3" t="s">
        <v>40</v>
      </c>
      <c r="D42" s="20">
        <v>1000</v>
      </c>
      <c r="E42" s="20">
        <v>5000</v>
      </c>
      <c r="F42" s="20">
        <v>10000</v>
      </c>
      <c r="G42" s="21">
        <v>15000</v>
      </c>
      <c r="H42" s="21">
        <v>20000</v>
      </c>
      <c r="I42" s="21">
        <v>25000</v>
      </c>
      <c r="J42" s="21">
        <v>30000</v>
      </c>
      <c r="K42" s="21">
        <v>35000</v>
      </c>
      <c r="L42" s="21">
        <v>40000</v>
      </c>
      <c r="M42" s="21">
        <v>45000</v>
      </c>
      <c r="N42" s="21">
        <v>50000</v>
      </c>
      <c r="Q42" s="8"/>
      <c r="R42" s="8"/>
      <c r="S42" s="8"/>
      <c r="T42" s="8"/>
      <c r="U42" s="8"/>
      <c r="V42" s="8"/>
      <c r="W42" s="8"/>
      <c r="X42" s="8"/>
      <c r="Y42" s="8"/>
      <c r="Z42" s="2"/>
      <c r="AA42" s="2"/>
      <c r="AB42" s="2"/>
    </row>
    <row r="43" spans="2:28">
      <c r="C43" s="3" t="s">
        <v>41</v>
      </c>
      <c r="D43" s="5"/>
      <c r="E43" s="5"/>
      <c r="F43" s="5"/>
      <c r="G43" s="5"/>
      <c r="H43" s="5"/>
      <c r="I43" s="5"/>
      <c r="J43" s="5"/>
      <c r="K43" s="5"/>
      <c r="L43" s="5"/>
      <c r="M43" s="5"/>
      <c r="Q43" s="8"/>
      <c r="R43" s="8"/>
      <c r="S43" s="8"/>
      <c r="T43" s="8"/>
      <c r="U43" s="8"/>
      <c r="V43" s="8"/>
      <c r="W43" s="8"/>
      <c r="X43" s="8"/>
      <c r="Y43" s="8"/>
      <c r="Z43" s="2"/>
      <c r="AA43" s="2"/>
      <c r="AB43" s="2"/>
    </row>
    <row r="44" spans="2:28">
      <c r="B44" s="32" t="s">
        <v>42</v>
      </c>
      <c r="C44" s="7" t="s">
        <v>43</v>
      </c>
      <c r="D44" s="5">
        <v>20.104249954223629</v>
      </c>
      <c r="E44" s="5">
        <v>25.642343521118161</v>
      </c>
      <c r="F44" s="5">
        <v>20.303323745727539</v>
      </c>
      <c r="G44" s="5">
        <v>19.73834228515625</v>
      </c>
      <c r="H44" s="5">
        <v>19.788825988769531</v>
      </c>
      <c r="I44" s="5">
        <v>17.31105804443359</v>
      </c>
      <c r="J44" s="5">
        <v>19.933568954467798</v>
      </c>
      <c r="K44" s="5">
        <v>17.169919967651371</v>
      </c>
      <c r="L44" s="5">
        <v>16.593074798583981</v>
      </c>
      <c r="M44" s="5">
        <v>19.202083587646499</v>
      </c>
      <c r="N44" s="5">
        <v>17.002241134643551</v>
      </c>
      <c r="O44" s="3" t="s">
        <v>44</v>
      </c>
      <c r="P44" s="5">
        <v>5.3349065780639648</v>
      </c>
      <c r="Q44" s="8" t="s">
        <v>45</v>
      </c>
      <c r="R44" s="8">
        <v>2.638597726821899</v>
      </c>
      <c r="S44" s="8"/>
      <c r="T44" s="8"/>
      <c r="U44" s="8"/>
      <c r="V44" s="8"/>
      <c r="W44" s="8"/>
      <c r="X44" s="8"/>
      <c r="Y44" s="8"/>
      <c r="Z44" s="2"/>
      <c r="AA44" s="2"/>
      <c r="AB44" s="2"/>
    </row>
    <row r="45" spans="2:28">
      <c r="B45" s="33"/>
      <c r="C45" s="7" t="s">
        <v>46</v>
      </c>
      <c r="D45" s="5">
        <v>11.69381046295166</v>
      </c>
      <c r="E45" s="5">
        <v>12.163814544677731</v>
      </c>
      <c r="F45" s="5">
        <v>11.07769298553467</v>
      </c>
      <c r="G45" s="5">
        <v>10.216055870056151</v>
      </c>
      <c r="H45" s="5">
        <v>10.075886726379389</v>
      </c>
      <c r="I45" s="5">
        <v>9.7575874328613281</v>
      </c>
      <c r="J45" s="5">
        <v>10.0080003738403</v>
      </c>
      <c r="K45" s="5">
        <v>9.0889005661010742</v>
      </c>
      <c r="L45" s="5">
        <v>9.7591714859008789</v>
      </c>
      <c r="M45" s="5">
        <v>9.9321908950806002</v>
      </c>
      <c r="N45" s="5">
        <v>9.5343103408813477</v>
      </c>
      <c r="O45" s="3" t="s">
        <v>47</v>
      </c>
      <c r="P45" s="5">
        <v>4.065366268157959</v>
      </c>
      <c r="Q45" s="8" t="s">
        <v>45</v>
      </c>
      <c r="R45" s="8">
        <v>2.638597726821899</v>
      </c>
      <c r="S45" s="8"/>
      <c r="T45" s="8"/>
      <c r="U45" s="8"/>
      <c r="V45" s="8"/>
      <c r="W45" s="8"/>
      <c r="X45" s="8"/>
      <c r="Y45" s="8"/>
      <c r="Z45" s="2"/>
      <c r="AA45" s="2"/>
      <c r="AB45" s="2"/>
    </row>
    <row r="46" spans="2:28">
      <c r="B46" s="33"/>
      <c r="C46" s="7" t="s">
        <v>48</v>
      </c>
      <c r="D46" s="5">
        <v>6.043358325958252</v>
      </c>
      <c r="E46" s="5">
        <v>5.7533378601074219</v>
      </c>
      <c r="F46" s="5">
        <v>5.449683666229248</v>
      </c>
      <c r="G46" s="5">
        <v>5.3941268920898438</v>
      </c>
      <c r="H46" s="5">
        <v>4.8900613784790039</v>
      </c>
      <c r="I46" s="5">
        <v>5.1264901161193848</v>
      </c>
      <c r="J46" s="5">
        <v>5.1033439636230469</v>
      </c>
      <c r="K46" s="5">
        <v>4.8022480010986328</v>
      </c>
      <c r="L46" s="5">
        <v>5.0457029342651367</v>
      </c>
      <c r="M46" s="5">
        <v>5.2489161491394043</v>
      </c>
      <c r="N46" s="5">
        <v>4.8296875953674316</v>
      </c>
      <c r="O46" s="3" t="s">
        <v>49</v>
      </c>
      <c r="P46" s="14">
        <v>2.7947921752929692</v>
      </c>
      <c r="Q46" s="8" t="s">
        <v>45</v>
      </c>
      <c r="R46" s="8">
        <v>2.638597726821899</v>
      </c>
      <c r="S46" s="8"/>
      <c r="T46" s="8"/>
      <c r="U46" s="8"/>
      <c r="V46" s="8"/>
      <c r="W46" s="8"/>
      <c r="X46" s="8"/>
      <c r="Y46" s="8"/>
      <c r="Z46" s="2"/>
      <c r="AA46" s="2"/>
      <c r="AB46" s="2"/>
    </row>
    <row r="47" spans="2:28">
      <c r="B47" s="1"/>
      <c r="C47" s="9"/>
      <c r="M47" s="1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2"/>
      <c r="AA47" s="2"/>
      <c r="AB47" s="2"/>
    </row>
    <row r="48" spans="2:28">
      <c r="B48" s="1"/>
      <c r="C48" s="9"/>
      <c r="M48" s="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2"/>
      <c r="AA48" s="2"/>
      <c r="AB48" s="2"/>
    </row>
    <row r="49" spans="1:28">
      <c r="C49" s="3" t="s">
        <v>40</v>
      </c>
      <c r="D49" s="20">
        <v>1000</v>
      </c>
      <c r="E49" s="20">
        <v>5000</v>
      </c>
      <c r="F49" s="20">
        <v>10000</v>
      </c>
      <c r="G49" s="21">
        <v>15000</v>
      </c>
      <c r="H49" s="21">
        <v>20000</v>
      </c>
      <c r="I49" s="21">
        <v>25000</v>
      </c>
      <c r="J49" s="21">
        <v>30000</v>
      </c>
      <c r="K49" s="21">
        <v>35000</v>
      </c>
      <c r="L49" s="21">
        <v>40000</v>
      </c>
      <c r="M49" s="21">
        <v>45000</v>
      </c>
      <c r="N49" s="21">
        <v>50000</v>
      </c>
      <c r="Q49" s="8"/>
      <c r="R49" s="8"/>
      <c r="S49" s="8"/>
      <c r="T49" s="8"/>
      <c r="U49" s="8"/>
      <c r="V49" s="8"/>
      <c r="W49" s="8"/>
      <c r="X49" s="8"/>
      <c r="Y49" s="8"/>
      <c r="Z49" s="2"/>
      <c r="AA49" s="2"/>
      <c r="AB49" s="2"/>
    </row>
    <row r="50" spans="1:28">
      <c r="C50" s="3" t="s">
        <v>50</v>
      </c>
      <c r="D50" s="5">
        <v>1000</v>
      </c>
      <c r="E50" s="5">
        <v>5000</v>
      </c>
      <c r="F50" s="5">
        <v>10000</v>
      </c>
      <c r="G50" s="5">
        <v>15000</v>
      </c>
      <c r="H50" s="5">
        <v>20000</v>
      </c>
      <c r="I50" s="5">
        <v>25000</v>
      </c>
      <c r="J50" s="5">
        <v>30000</v>
      </c>
      <c r="K50" s="5">
        <v>35000</v>
      </c>
      <c r="L50" s="5">
        <v>40000</v>
      </c>
      <c r="M50" s="5">
        <v>45000</v>
      </c>
      <c r="N50" s="3">
        <v>50000</v>
      </c>
      <c r="Q50" s="8"/>
      <c r="R50" s="8"/>
      <c r="S50" s="8"/>
      <c r="T50" s="8"/>
      <c r="U50" s="8"/>
      <c r="V50" s="8"/>
      <c r="W50" s="8"/>
      <c r="X50" s="8"/>
      <c r="Y50" s="8"/>
      <c r="Z50" s="2"/>
      <c r="AA50" s="2"/>
      <c r="AB50" s="2"/>
    </row>
    <row r="51" spans="1:28">
      <c r="B51" s="19"/>
      <c r="C51" s="7" t="s">
        <v>43</v>
      </c>
      <c r="D51" s="26">
        <v>0.434746102302838</v>
      </c>
      <c r="E51" s="26">
        <v>0.47906464725244841</v>
      </c>
      <c r="F51" s="26">
        <v>0.43643207976577308</v>
      </c>
      <c r="G51" s="26">
        <v>0.43966165237838262</v>
      </c>
      <c r="H51" s="26">
        <v>0.46096292633537012</v>
      </c>
      <c r="I51" s="26">
        <v>0.41752637981323598</v>
      </c>
      <c r="J51" s="26">
        <v>0.46079132182104399</v>
      </c>
      <c r="K51" s="26">
        <v>0.4442292582849558</v>
      </c>
      <c r="L51" s="26">
        <v>0.44295561427958241</v>
      </c>
      <c r="M51" s="26">
        <v>0.462294828090765</v>
      </c>
      <c r="N51" s="26">
        <v>0.43504187603004701</v>
      </c>
      <c r="O51" s="3" t="s">
        <v>44</v>
      </c>
      <c r="P51" s="36">
        <v>0.45180688704890121</v>
      </c>
      <c r="Q51" s="8" t="s">
        <v>45</v>
      </c>
      <c r="R51" s="36">
        <v>0.62070312500000002</v>
      </c>
      <c r="S51" s="8"/>
      <c r="T51" s="8"/>
      <c r="U51" s="8"/>
      <c r="V51" s="8"/>
      <c r="W51" s="8"/>
      <c r="X51" s="8"/>
      <c r="Y51" s="8"/>
      <c r="Z51" s="2"/>
      <c r="AA51" s="2"/>
      <c r="AB51" s="2"/>
    </row>
    <row r="52" spans="1:28">
      <c r="B52" s="33" t="s">
        <v>51</v>
      </c>
      <c r="C52" s="7" t="s">
        <v>46</v>
      </c>
      <c r="D52" s="26">
        <v>0.47700018578138281</v>
      </c>
      <c r="E52" s="26">
        <v>0.50369627435233821</v>
      </c>
      <c r="F52" s="26">
        <v>0.49490323411023562</v>
      </c>
      <c r="G52" s="26">
        <v>0.46038710650915482</v>
      </c>
      <c r="H52" s="26">
        <v>0.49009451505785218</v>
      </c>
      <c r="I52" s="26">
        <v>0.47612990966607233</v>
      </c>
      <c r="J52" s="26">
        <v>0.50601573007565004</v>
      </c>
      <c r="K52" s="26">
        <v>0.4829679223470319</v>
      </c>
      <c r="L52" s="26">
        <v>0.49408004748901257</v>
      </c>
      <c r="M52" s="26">
        <v>0.50882736750884106</v>
      </c>
      <c r="N52" s="26">
        <v>0.49612292083305531</v>
      </c>
      <c r="O52" s="3" t="s">
        <v>47</v>
      </c>
      <c r="P52" s="36">
        <v>0.51374621505645135</v>
      </c>
      <c r="Q52" s="8" t="s">
        <v>45</v>
      </c>
      <c r="R52" s="36">
        <v>0.62070312500000002</v>
      </c>
      <c r="S52" s="8"/>
      <c r="T52" s="8"/>
      <c r="U52" s="8"/>
      <c r="V52" s="8"/>
      <c r="W52" s="8"/>
      <c r="X52" s="8"/>
      <c r="Y52" s="8"/>
      <c r="Z52" s="2"/>
      <c r="AA52" s="2"/>
      <c r="AB52" s="2"/>
    </row>
    <row r="53" spans="1:28">
      <c r="B53" s="33"/>
      <c r="C53" s="7" t="s">
        <v>48</v>
      </c>
      <c r="D53" s="26">
        <v>0.50544468592833569</v>
      </c>
      <c r="E53" s="26">
        <v>0.51919936645303499</v>
      </c>
      <c r="F53" s="26">
        <v>0.5178086392366672</v>
      </c>
      <c r="G53" s="26">
        <v>0.49548374576556609</v>
      </c>
      <c r="H53" s="26">
        <v>0.51133784826489204</v>
      </c>
      <c r="I53" s="26">
        <v>0.50891858524167999</v>
      </c>
      <c r="J53" s="26">
        <v>0.50174209022358796</v>
      </c>
      <c r="K53" s="26">
        <v>0.5275748647375792</v>
      </c>
      <c r="L53" s="26">
        <v>0.5119562703885332</v>
      </c>
      <c r="M53" s="26">
        <v>0.51431229729868699</v>
      </c>
      <c r="N53" s="26">
        <v>0.50738634842168706</v>
      </c>
      <c r="O53" s="3" t="s">
        <v>49</v>
      </c>
      <c r="P53" s="36">
        <v>0.53396738869179805</v>
      </c>
      <c r="Q53" s="8" t="s">
        <v>45</v>
      </c>
      <c r="R53" s="36">
        <v>0.62070312500000002</v>
      </c>
      <c r="S53" s="8"/>
      <c r="T53" s="8"/>
      <c r="U53" s="8"/>
      <c r="V53" s="8"/>
      <c r="W53" s="8"/>
      <c r="X53" s="8"/>
      <c r="Y53" s="8"/>
      <c r="Z53" s="2"/>
      <c r="AA53" s="2"/>
      <c r="AB53" s="2"/>
    </row>
    <row r="54" spans="1:28">
      <c r="A54" s="27"/>
      <c r="B54" s="33"/>
      <c r="C54" s="7" t="s">
        <v>52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P54" s="36"/>
      <c r="Q54" s="8"/>
      <c r="R54" s="36"/>
      <c r="S54" s="8"/>
      <c r="T54" s="8"/>
      <c r="U54" s="8"/>
      <c r="V54" s="8"/>
      <c r="W54" s="8"/>
      <c r="X54" s="8"/>
      <c r="Y54" s="8"/>
      <c r="Z54" s="2"/>
      <c r="AA54" s="2"/>
      <c r="AB54" s="2"/>
    </row>
    <row r="55" spans="1:28">
      <c r="B55" s="7"/>
      <c r="C55" s="8"/>
      <c r="P55" s="36"/>
      <c r="Q55" s="8"/>
      <c r="R55" s="36"/>
      <c r="S55" s="8"/>
      <c r="T55" s="8"/>
      <c r="U55" s="8"/>
      <c r="V55" s="8"/>
      <c r="W55" s="8"/>
      <c r="X55" s="8"/>
      <c r="Y55" s="8"/>
      <c r="Z55" s="2"/>
      <c r="AA55" s="2"/>
      <c r="AB55" s="2"/>
    </row>
    <row r="56" spans="1:28">
      <c r="C56" s="3" t="s">
        <v>40</v>
      </c>
      <c r="D56" s="20">
        <v>1000</v>
      </c>
      <c r="E56" s="20">
        <v>5000</v>
      </c>
      <c r="F56" s="20">
        <v>10000</v>
      </c>
      <c r="G56" s="21">
        <v>15000</v>
      </c>
      <c r="H56" s="21">
        <v>20000</v>
      </c>
      <c r="I56" s="21">
        <v>25000</v>
      </c>
      <c r="J56" s="21">
        <v>30000</v>
      </c>
      <c r="K56" s="21">
        <v>35000</v>
      </c>
      <c r="L56" s="21">
        <v>40000</v>
      </c>
      <c r="M56" s="21">
        <v>45000</v>
      </c>
      <c r="N56" s="21">
        <v>50000</v>
      </c>
      <c r="P56" s="36"/>
      <c r="Q56" s="8"/>
      <c r="R56" s="36"/>
      <c r="S56" s="8"/>
      <c r="T56" s="8"/>
      <c r="U56" s="8"/>
      <c r="V56" s="8"/>
      <c r="W56" s="8"/>
      <c r="X56" s="8"/>
      <c r="Y56" s="8"/>
      <c r="Z56" s="2"/>
      <c r="AA56" s="2"/>
      <c r="AB56" s="2"/>
    </row>
    <row r="57" spans="1:28">
      <c r="C57" s="3" t="s">
        <v>53</v>
      </c>
      <c r="D57" s="5"/>
      <c r="E57" s="5"/>
      <c r="F57" s="5"/>
      <c r="G57" s="5"/>
      <c r="H57" s="5"/>
      <c r="I57" s="5"/>
      <c r="J57" s="5"/>
      <c r="K57" s="5"/>
      <c r="L57" s="5"/>
      <c r="M57" s="5"/>
      <c r="P57" s="36"/>
      <c r="Q57" s="8"/>
      <c r="R57" s="36"/>
      <c r="S57" s="8"/>
      <c r="T57" s="8"/>
      <c r="U57" s="8"/>
      <c r="V57" s="8"/>
      <c r="W57" s="8"/>
      <c r="X57" s="8"/>
      <c r="Y57" s="8"/>
      <c r="Z57" s="2"/>
      <c r="AA57" s="2"/>
      <c r="AB57" s="2"/>
    </row>
    <row r="58" spans="1:28">
      <c r="B58" s="32" t="s">
        <v>54</v>
      </c>
      <c r="C58" s="7" t="s">
        <v>43</v>
      </c>
      <c r="D58" s="36">
        <v>0.74652547172465189</v>
      </c>
      <c r="E58" s="36">
        <v>0.81121978571659259</v>
      </c>
      <c r="F58" s="36">
        <v>0.75412325159731453</v>
      </c>
      <c r="G58" s="36">
        <v>0.74755555643154015</v>
      </c>
      <c r="H58" s="36">
        <v>0.77535475010029398</v>
      </c>
      <c r="I58" s="36">
        <v>0.71973070732573075</v>
      </c>
      <c r="J58" s="36">
        <v>0.78625517513596099</v>
      </c>
      <c r="K58" s="36">
        <v>0.75545700415443306</v>
      </c>
      <c r="L58" s="36">
        <v>0.74783660884775016</v>
      </c>
      <c r="M58" s="36">
        <v>0.78136321311394397</v>
      </c>
      <c r="N58" s="36">
        <v>0.75343628062949686</v>
      </c>
      <c r="O58" s="3" t="s">
        <v>44</v>
      </c>
      <c r="P58" s="36">
        <v>0.74583639920375933</v>
      </c>
      <c r="Q58" s="8" t="s">
        <v>45</v>
      </c>
      <c r="R58" s="36">
        <v>0.89566929133858264</v>
      </c>
      <c r="S58" s="8"/>
      <c r="T58" s="8"/>
      <c r="U58" s="8"/>
      <c r="V58" s="8"/>
      <c r="W58" s="8"/>
      <c r="X58" s="8"/>
      <c r="Y58" s="8"/>
      <c r="Z58" s="2"/>
      <c r="AA58" s="2"/>
      <c r="AB58" s="2"/>
    </row>
    <row r="59" spans="1:28">
      <c r="B59" s="33"/>
      <c r="C59" s="7" t="s">
        <v>46</v>
      </c>
      <c r="D59" s="36">
        <v>0.76534171361402281</v>
      </c>
      <c r="E59" s="36">
        <v>0.8087142432097123</v>
      </c>
      <c r="F59" s="36">
        <v>0.7868520256811472</v>
      </c>
      <c r="G59" s="36">
        <v>0.74486366854124841</v>
      </c>
      <c r="H59" s="36">
        <v>0.7818280329221895</v>
      </c>
      <c r="I59" s="36">
        <v>0.76801263041532453</v>
      </c>
      <c r="J59" s="36">
        <v>0.77659112356029203</v>
      </c>
      <c r="K59" s="36">
        <v>0.77736319903353523</v>
      </c>
      <c r="L59" s="36">
        <v>0.78540510404501962</v>
      </c>
      <c r="M59" s="36">
        <v>0.79819133017264798</v>
      </c>
      <c r="N59" s="36">
        <v>0.79124373913236257</v>
      </c>
      <c r="O59" s="3" t="s">
        <v>47</v>
      </c>
      <c r="P59" s="36">
        <v>0.82281252773510838</v>
      </c>
      <c r="Q59" s="8" t="s">
        <v>45</v>
      </c>
      <c r="R59" s="36">
        <v>0.89566929133858264</v>
      </c>
      <c r="S59" s="8"/>
      <c r="T59" s="8"/>
      <c r="U59" s="8"/>
      <c r="V59" s="8"/>
      <c r="W59" s="8"/>
      <c r="X59" s="8"/>
      <c r="Y59" s="8"/>
      <c r="Z59" s="2"/>
      <c r="AA59" s="2"/>
      <c r="AB59" s="2"/>
    </row>
    <row r="60" spans="1:28">
      <c r="B60" s="33"/>
      <c r="C60" s="7" t="s">
        <v>48</v>
      </c>
      <c r="D60" s="36">
        <v>0.78305976211101325</v>
      </c>
      <c r="E60" s="36">
        <v>0.80640732986788644</v>
      </c>
      <c r="F60" s="36">
        <v>0.79371047274623319</v>
      </c>
      <c r="G60" s="36">
        <v>0.76274480262423139</v>
      </c>
      <c r="H60" s="36">
        <v>0.80094105184201136</v>
      </c>
      <c r="I60" s="36">
        <v>0.79097528958960328</v>
      </c>
      <c r="J60" s="36">
        <v>0.81191656043516003</v>
      </c>
      <c r="K60" s="36">
        <v>0.81604207657097916</v>
      </c>
      <c r="L60" s="36">
        <v>0.79876702355847495</v>
      </c>
      <c r="M60" s="36">
        <v>0.81525985512689803</v>
      </c>
      <c r="N60" s="36">
        <v>0.7923201582427839</v>
      </c>
      <c r="O60" s="3" t="s">
        <v>49</v>
      </c>
      <c r="P60" s="36">
        <v>0.84944915824915823</v>
      </c>
      <c r="Q60" s="8" t="s">
        <v>45</v>
      </c>
      <c r="R60" s="36">
        <v>0.89566929133858264</v>
      </c>
      <c r="S60" s="8"/>
      <c r="T60" s="8"/>
      <c r="U60" s="8"/>
      <c r="V60" s="8"/>
      <c r="W60" s="8"/>
      <c r="X60" s="8"/>
      <c r="Y60" s="8"/>
      <c r="Z60" s="2"/>
      <c r="AA60" s="2"/>
      <c r="AB60" s="2"/>
    </row>
    <row r="61" spans="1:28">
      <c r="B61" s="7"/>
      <c r="C61" s="26"/>
      <c r="P61" s="36"/>
      <c r="R61" s="36"/>
    </row>
    <row r="62" spans="1:28">
      <c r="C62" s="3" t="s">
        <v>40</v>
      </c>
      <c r="D62" s="20">
        <v>1000</v>
      </c>
      <c r="E62" s="20">
        <v>5000</v>
      </c>
      <c r="F62" s="20">
        <v>10000</v>
      </c>
      <c r="G62" s="21">
        <v>15000</v>
      </c>
      <c r="H62" s="21">
        <v>20000</v>
      </c>
      <c r="I62" s="21">
        <v>25000</v>
      </c>
      <c r="J62" s="21">
        <v>30000</v>
      </c>
      <c r="K62" s="21">
        <v>35000</v>
      </c>
      <c r="L62" s="21">
        <v>40000</v>
      </c>
      <c r="M62" s="21">
        <v>45000</v>
      </c>
      <c r="N62" s="21">
        <v>50000</v>
      </c>
      <c r="P62" s="36"/>
      <c r="R62" s="36"/>
    </row>
    <row r="63" spans="1:28">
      <c r="C63" s="3" t="s">
        <v>40</v>
      </c>
      <c r="D63" s="20">
        <v>1000</v>
      </c>
      <c r="E63" s="20">
        <v>5000</v>
      </c>
      <c r="F63" s="20">
        <v>10000</v>
      </c>
      <c r="G63" s="21">
        <v>15000</v>
      </c>
      <c r="H63" s="21">
        <v>20000</v>
      </c>
      <c r="I63" s="21">
        <v>25000</v>
      </c>
      <c r="J63" s="21">
        <v>30000</v>
      </c>
      <c r="K63" s="21">
        <v>35000</v>
      </c>
      <c r="L63" s="21">
        <v>40000</v>
      </c>
      <c r="M63" s="21">
        <v>45000</v>
      </c>
      <c r="N63" s="21">
        <v>50000</v>
      </c>
      <c r="P63" s="36"/>
      <c r="Q63" s="8"/>
      <c r="R63" s="36"/>
      <c r="S63" s="8"/>
      <c r="T63" s="8"/>
      <c r="U63" s="8"/>
      <c r="V63" s="8"/>
      <c r="W63" s="8"/>
      <c r="X63" s="8"/>
      <c r="Y63" s="8"/>
      <c r="Z63" s="2"/>
      <c r="AA63" s="2"/>
      <c r="AB63" s="2"/>
    </row>
    <row r="64" spans="1:28">
      <c r="B64" s="33" t="s">
        <v>55</v>
      </c>
      <c r="C64" s="3" t="s">
        <v>56</v>
      </c>
      <c r="D64" s="5"/>
      <c r="E64" s="5"/>
      <c r="F64" s="5"/>
      <c r="G64" s="5"/>
      <c r="H64" s="5"/>
      <c r="I64" s="5"/>
      <c r="J64" s="5"/>
      <c r="K64" s="5"/>
      <c r="L64" s="5"/>
      <c r="M64" s="5"/>
      <c r="P64" s="36"/>
      <c r="Q64" s="8"/>
      <c r="R64" s="36"/>
      <c r="S64" s="8"/>
      <c r="T64" s="8"/>
      <c r="U64" s="8"/>
      <c r="V64" s="8"/>
      <c r="W64" s="8"/>
      <c r="X64" s="8"/>
      <c r="Y64" s="8"/>
      <c r="Z64" s="2"/>
      <c r="AA64" s="2"/>
      <c r="AB64" s="2"/>
    </row>
    <row r="65" spans="1:28">
      <c r="B65" s="32"/>
      <c r="C65" s="7" t="s">
        <v>43</v>
      </c>
      <c r="D65" s="36">
        <v>0.87531987358508589</v>
      </c>
      <c r="E65" s="36">
        <v>0.92705327210134836</v>
      </c>
      <c r="F65" s="36">
        <v>0.88706991540636726</v>
      </c>
      <c r="G65" s="36">
        <v>0.88290067748587786</v>
      </c>
      <c r="H65" s="36">
        <v>0.90144861157840994</v>
      </c>
      <c r="I65" s="36">
        <v>0.85183254510560513</v>
      </c>
      <c r="J65" s="36">
        <v>0.90673174143007196</v>
      </c>
      <c r="K65" s="36">
        <v>0.88626530990835928</v>
      </c>
      <c r="L65" s="36">
        <v>0.87538642171314296</v>
      </c>
      <c r="M65" s="36">
        <v>0.90999611604154496</v>
      </c>
      <c r="N65" s="36">
        <v>0.88875210569139629</v>
      </c>
      <c r="O65" s="3" t="s">
        <v>44</v>
      </c>
      <c r="P65" s="36">
        <v>0.84474677234174611</v>
      </c>
      <c r="Q65" s="8" t="s">
        <v>45</v>
      </c>
      <c r="R65" s="36">
        <v>0.95404761904761903</v>
      </c>
      <c r="S65" s="8"/>
      <c r="T65" s="8"/>
      <c r="U65" s="8"/>
      <c r="V65" s="8"/>
      <c r="W65" s="8"/>
      <c r="X65" s="8"/>
      <c r="Y65" s="8"/>
      <c r="Z65" s="2"/>
      <c r="AA65" s="2"/>
      <c r="AB65" s="2"/>
    </row>
    <row r="66" spans="1:28">
      <c r="B66" s="33"/>
      <c r="C66" s="7" t="s">
        <v>46</v>
      </c>
      <c r="D66" s="36">
        <v>0.8638053978946415</v>
      </c>
      <c r="E66" s="36">
        <v>0.90644242006719788</v>
      </c>
      <c r="F66" s="36">
        <v>0.88380376650606718</v>
      </c>
      <c r="G66" s="36">
        <v>0.85239863078695977</v>
      </c>
      <c r="H66" s="36">
        <v>0.88013253828283966</v>
      </c>
      <c r="I66" s="36">
        <v>0.8735682715414933</v>
      </c>
      <c r="J66" s="36">
        <v>0.90423933338921603</v>
      </c>
      <c r="K66" s="36">
        <v>0.87781866784897555</v>
      </c>
      <c r="L66" s="36">
        <v>0.88642547798400417</v>
      </c>
      <c r="M66" s="36">
        <v>0.91326391572265797</v>
      </c>
      <c r="N66" s="36">
        <v>0.89187192516530245</v>
      </c>
      <c r="O66" s="3" t="s">
        <v>47</v>
      </c>
      <c r="P66" s="36">
        <v>0.91608081125972551</v>
      </c>
      <c r="Q66" s="8" t="s">
        <v>45</v>
      </c>
      <c r="R66" s="36">
        <v>0.95404761904761903</v>
      </c>
      <c r="S66" s="8"/>
      <c r="T66" s="8"/>
      <c r="U66" s="8"/>
      <c r="V66" s="8"/>
      <c r="W66" s="8"/>
      <c r="X66" s="8"/>
      <c r="Y66" s="8"/>
      <c r="Z66" s="2"/>
      <c r="AA66" s="2"/>
      <c r="AB66" s="2"/>
    </row>
    <row r="67" spans="1:28">
      <c r="C67" s="7" t="s">
        <v>48</v>
      </c>
      <c r="D67" s="36">
        <v>0.87271895198542171</v>
      </c>
      <c r="E67" s="36">
        <v>0.89912724402315181</v>
      </c>
      <c r="F67" s="36">
        <v>0.88466541577332192</v>
      </c>
      <c r="G67" s="36">
        <v>0.85593587215352518</v>
      </c>
      <c r="H67" s="36">
        <v>0.89568166550500872</v>
      </c>
      <c r="I67" s="36">
        <v>0.88530257739937535</v>
      </c>
      <c r="J67" s="36">
        <v>0.90426966088465899</v>
      </c>
      <c r="K67" s="36">
        <v>0.90418289975705346</v>
      </c>
      <c r="L67" s="36">
        <v>0.89146503488518336</v>
      </c>
      <c r="M67" s="36">
        <v>0.91184572868871205</v>
      </c>
      <c r="N67" s="36">
        <v>0.88642525294994623</v>
      </c>
      <c r="O67" s="3" t="s">
        <v>49</v>
      </c>
      <c r="P67" s="36">
        <v>0.93346032823995473</v>
      </c>
      <c r="Q67" s="8" t="s">
        <v>45</v>
      </c>
      <c r="R67" s="36">
        <v>0.95404761904761903</v>
      </c>
      <c r="S67" s="8"/>
      <c r="T67" s="8"/>
      <c r="U67" s="8"/>
      <c r="V67" s="8"/>
      <c r="W67" s="8"/>
      <c r="X67" s="8"/>
      <c r="Y67" s="8"/>
      <c r="Z67" s="2"/>
      <c r="AA67" s="2"/>
      <c r="AB67" s="2"/>
    </row>
    <row r="68" spans="1:28">
      <c r="B68" s="7"/>
      <c r="C68" s="26"/>
      <c r="D68" s="5"/>
      <c r="E68" s="5"/>
      <c r="F68" s="5"/>
      <c r="G68" s="5"/>
      <c r="H68" s="5"/>
      <c r="I68" s="5"/>
      <c r="J68" s="5"/>
      <c r="K68" s="5"/>
      <c r="L68" s="5"/>
    </row>
    <row r="69" spans="1:28">
      <c r="B69" s="7"/>
      <c r="C69" s="26"/>
      <c r="D69" s="5"/>
      <c r="E69" s="5"/>
      <c r="F69" s="5"/>
      <c r="G69" s="5"/>
      <c r="H69" s="5"/>
      <c r="I69" s="5"/>
      <c r="J69" s="5"/>
      <c r="K69" s="5"/>
      <c r="L69" s="5"/>
    </row>
    <row r="70" spans="1:28">
      <c r="B70" s="7"/>
      <c r="C70" s="26"/>
    </row>
    <row r="71" spans="1:28">
      <c r="B71" s="7"/>
      <c r="C71" s="34"/>
      <c r="D71" s="33"/>
      <c r="E71" s="33"/>
      <c r="F71" s="33"/>
      <c r="G71" s="33"/>
      <c r="H71" s="33"/>
      <c r="I71" s="33"/>
      <c r="J71" s="33"/>
      <c r="K71" s="33"/>
      <c r="L71" s="33"/>
    </row>
    <row r="72" spans="1:28">
      <c r="A72" s="32"/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8"/>
      <c r="N72" s="8"/>
      <c r="O72" s="8"/>
      <c r="P72" s="8"/>
      <c r="Q72" s="8"/>
      <c r="R72" s="8"/>
      <c r="S72" s="2"/>
      <c r="T72" s="2"/>
      <c r="U72" s="2"/>
    </row>
    <row r="73" spans="1:28">
      <c r="A73" s="33"/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8"/>
      <c r="N73" s="8"/>
      <c r="O73" s="8"/>
      <c r="P73" s="8"/>
      <c r="Q73" s="8"/>
      <c r="R73" s="8"/>
      <c r="S73" s="2"/>
      <c r="T73" s="2"/>
      <c r="U73" s="2"/>
    </row>
    <row r="74" spans="1:28">
      <c r="A74" s="33"/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8"/>
      <c r="N74" s="8"/>
      <c r="O74" s="8"/>
      <c r="P74" s="8"/>
      <c r="Q74" s="8"/>
      <c r="R74" s="8"/>
      <c r="S74" s="2"/>
      <c r="T74" s="2"/>
      <c r="U74" s="2"/>
    </row>
    <row r="75" spans="1:28">
      <c r="A75" s="19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28">
      <c r="A76" s="32"/>
      <c r="B76" s="7"/>
      <c r="L76" s="1"/>
      <c r="M76" s="8"/>
      <c r="N76" s="8"/>
      <c r="O76" s="8"/>
      <c r="P76" s="8"/>
      <c r="Q76" s="8"/>
      <c r="R76" s="8"/>
      <c r="S76" s="2"/>
      <c r="T76" s="2"/>
      <c r="U76" s="2"/>
    </row>
    <row r="77" spans="1:28">
      <c r="A77" s="33"/>
      <c r="B77" s="7"/>
      <c r="C77" s="8"/>
      <c r="E77" s="8"/>
      <c r="L77" s="1"/>
      <c r="M77" s="8"/>
      <c r="N77" s="8"/>
      <c r="O77" s="8"/>
      <c r="P77" s="8"/>
      <c r="Q77" s="8"/>
      <c r="R77" s="8"/>
      <c r="S77" s="2"/>
      <c r="T77" s="2"/>
      <c r="U77" s="2"/>
    </row>
    <row r="78" spans="1:28">
      <c r="A78" s="33"/>
      <c r="B78" s="7"/>
      <c r="L78" s="1"/>
      <c r="M78" s="8"/>
      <c r="N78" s="8"/>
      <c r="O78" s="8"/>
      <c r="P78" s="8"/>
      <c r="Q78" s="8"/>
      <c r="R78" s="8"/>
      <c r="S78" s="2"/>
      <c r="T78" s="2"/>
      <c r="U78" s="2"/>
    </row>
    <row r="79" spans="1:28">
      <c r="A79" s="19"/>
      <c r="B79" s="7"/>
      <c r="L79" s="1"/>
      <c r="M79" s="8"/>
      <c r="N79" s="8"/>
      <c r="O79" s="8"/>
      <c r="P79" s="8"/>
      <c r="Q79" s="8"/>
      <c r="R79" s="8"/>
      <c r="S79" s="2"/>
      <c r="T79" s="2"/>
      <c r="U79" s="2"/>
    </row>
    <row r="80" spans="1:28">
      <c r="C80" s="20"/>
      <c r="E80" s="20"/>
      <c r="G80" s="20"/>
      <c r="H80" s="20"/>
      <c r="I80" s="20"/>
      <c r="J80" s="20"/>
      <c r="L80" s="20"/>
      <c r="N80" s="20"/>
    </row>
    <row r="81" spans="1:21">
      <c r="A81" s="32"/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21">
      <c r="A82" s="33"/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21">
      <c r="A83" s="33"/>
      <c r="B83" s="7"/>
      <c r="C83" s="4"/>
      <c r="D83" s="4"/>
      <c r="E83" s="4"/>
      <c r="F83" s="4"/>
      <c r="G83" s="4"/>
      <c r="H83" s="4"/>
      <c r="I83" s="4"/>
      <c r="J83" s="4"/>
      <c r="K83" s="4"/>
      <c r="L83" s="8"/>
    </row>
    <row r="84" spans="1:21">
      <c r="C84" s="5"/>
      <c r="D84" s="5"/>
      <c r="E84" s="5"/>
      <c r="F84" s="5"/>
      <c r="G84" s="5"/>
      <c r="H84" s="5"/>
      <c r="I84" s="5"/>
      <c r="J84" s="5"/>
      <c r="K84" s="5"/>
    </row>
    <row r="85" spans="1:21">
      <c r="A85" s="32"/>
      <c r="B85" s="7"/>
      <c r="C85" s="5"/>
      <c r="D85" s="5"/>
      <c r="E85" s="5"/>
      <c r="F85" s="5"/>
      <c r="G85" s="5"/>
      <c r="H85" s="5"/>
      <c r="I85" s="5"/>
      <c r="J85" s="5"/>
      <c r="K85" s="5"/>
    </row>
    <row r="86" spans="1:21">
      <c r="A86" s="33"/>
      <c r="B86" s="7"/>
      <c r="C86" s="5"/>
      <c r="D86" s="5"/>
      <c r="E86" s="5"/>
      <c r="F86" s="5"/>
      <c r="G86" s="5"/>
      <c r="H86" s="5"/>
      <c r="I86" s="5"/>
      <c r="J86" s="5"/>
      <c r="K86" s="4"/>
    </row>
    <row r="87" spans="1:21">
      <c r="A87" s="33"/>
      <c r="B87" s="7"/>
      <c r="C87" s="4"/>
      <c r="D87" s="4"/>
      <c r="E87" s="4"/>
      <c r="F87" s="4"/>
      <c r="G87" s="4"/>
      <c r="H87" s="4"/>
      <c r="I87" s="4"/>
      <c r="J87" s="4"/>
    </row>
    <row r="88" spans="1:21">
      <c r="C88" s="5"/>
      <c r="D88" s="5"/>
      <c r="E88" s="5"/>
      <c r="F88" s="5"/>
      <c r="G88" s="5"/>
      <c r="H88" s="5"/>
      <c r="I88" s="5"/>
      <c r="J88" s="5"/>
      <c r="K88" s="5"/>
    </row>
    <row r="89" spans="1:21">
      <c r="A89" s="32"/>
      <c r="B89" s="7"/>
      <c r="C89" s="5"/>
      <c r="D89" s="5"/>
      <c r="E89" s="5"/>
      <c r="F89" s="5"/>
      <c r="G89" s="5"/>
      <c r="H89" s="5"/>
      <c r="I89" s="5"/>
      <c r="J89" s="5"/>
      <c r="K89" s="5"/>
      <c r="L89" s="1"/>
      <c r="M89" s="1"/>
      <c r="N89" s="1"/>
      <c r="O89" s="1"/>
      <c r="P89" s="1"/>
      <c r="Q89" s="1"/>
      <c r="R89" s="1"/>
      <c r="S89" s="1"/>
      <c r="T89" s="1"/>
    </row>
    <row r="90" spans="1:21">
      <c r="A90" s="33"/>
      <c r="B90" s="7"/>
      <c r="C90" s="5"/>
      <c r="D90" s="5"/>
      <c r="E90" s="5"/>
      <c r="F90" s="5"/>
      <c r="G90" s="5"/>
      <c r="H90" s="5"/>
      <c r="I90" s="5"/>
      <c r="J90" s="5"/>
      <c r="K90" s="5"/>
      <c r="L90" s="1"/>
      <c r="M90" s="8"/>
      <c r="N90" s="8"/>
      <c r="O90" s="8"/>
      <c r="P90" s="8"/>
      <c r="Q90" s="8"/>
      <c r="R90" s="8"/>
      <c r="S90" s="2"/>
      <c r="T90" s="2"/>
      <c r="U90" s="2"/>
    </row>
    <row r="91" spans="1:21">
      <c r="A91" s="33"/>
      <c r="B91" s="7"/>
      <c r="C91" s="5"/>
      <c r="D91" s="5"/>
      <c r="E91" s="5"/>
      <c r="F91" s="5"/>
      <c r="G91" s="5"/>
      <c r="H91" s="5"/>
      <c r="I91" s="5"/>
      <c r="J91" s="5"/>
      <c r="K91" s="5"/>
      <c r="L91" s="1"/>
      <c r="M91" s="8"/>
      <c r="N91" s="8"/>
      <c r="O91" s="8"/>
      <c r="P91" s="8"/>
      <c r="Q91" s="8"/>
      <c r="R91" s="8"/>
      <c r="S91" s="2"/>
      <c r="T91" s="2"/>
      <c r="U91" s="2"/>
    </row>
    <row r="92" spans="1:21">
      <c r="L92" s="1"/>
      <c r="M92" s="8"/>
      <c r="N92" s="8"/>
      <c r="O92" s="8"/>
      <c r="P92" s="8"/>
      <c r="Q92" s="8"/>
      <c r="R92" s="8"/>
      <c r="S92" s="2"/>
      <c r="T92" s="2"/>
      <c r="U92" s="2"/>
    </row>
    <row r="93" spans="1:21">
      <c r="L93" s="1"/>
      <c r="M93" s="8"/>
      <c r="N93" s="8"/>
      <c r="O93" s="8"/>
      <c r="P93" s="8"/>
      <c r="Q93" s="8"/>
      <c r="R93" s="8"/>
      <c r="S93" s="2"/>
      <c r="T93" s="2"/>
      <c r="U93" s="2"/>
    </row>
    <row r="94" spans="1:21">
      <c r="L94" s="1"/>
      <c r="M94" s="8"/>
      <c r="N94" s="8"/>
      <c r="O94" s="8"/>
      <c r="P94" s="8"/>
      <c r="Q94" s="8"/>
      <c r="R94" s="8"/>
      <c r="S94" s="2"/>
      <c r="T94" s="2"/>
      <c r="U94" s="2"/>
    </row>
  </sheetData>
  <mergeCells count="11">
    <mergeCell ref="A18:A20"/>
    <mergeCell ref="B44:B46"/>
    <mergeCell ref="A72:A74"/>
    <mergeCell ref="A85:A87"/>
    <mergeCell ref="A81:A83"/>
    <mergeCell ref="A89:A91"/>
    <mergeCell ref="B58:B60"/>
    <mergeCell ref="C71:L71"/>
    <mergeCell ref="B64:B66"/>
    <mergeCell ref="B52:B54"/>
    <mergeCell ref="A76:A78"/>
  </mergeCells>
  <conditionalFormatting sqref="C19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:C49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F7 K7:P7">
    <cfRule type="colorScale" priority="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F8 K8:P8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F8 K8:Q8">
    <cfRule type="colorScale" priority="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F9 K9:P9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F9 K9:Q9">
    <cfRule type="colorScale" priority="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F10 K10:P10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F10 K10:Q10">
    <cfRule type="colorScale" priority="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F11 K11:P11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F11 K11:Q11">
    <cfRule type="colorScale" priority="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F12 K12:P12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F12 K12:Q12">
    <cfRule type="colorScale" priority="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F13 K13:P13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F13 K13:Q13">
    <cfRule type="colorScale" priority="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F14 K14:P14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F14 K14:Q14">
    <cfRule type="colorScale" priority="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F15 K15:P15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F15 K15:Q15">
    <cfRule type="colorScale" priority="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7 K7:O7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7 K7:Q7">
    <cfRule type="colorScale" priority="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15 K7:O15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15 K7:P15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15 K7:Q15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I8 K8:Q8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I9 K9:Q9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I10 K10:Q10"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I11 K11:Q11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I12 K12:Q12"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I13 K13:Q13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I14 K14:Q14"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I15 K15:Q15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P17"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Q17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I17 K17:M17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Q17">
    <cfRule type="colorScale" priority="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F19 K20 L19 M20 N19 O20 P19 H19:J19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2:K82"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:L68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:L69"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2:L72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:L73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L74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O23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O24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O35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6:O86">
    <cfRule type="colorScale" priority="4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F18 H18:P18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F19 H19:P19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F20 H20:P20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:P24">
    <cfRule type="colorScale" priority="5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:P25">
    <cfRule type="colorScale" priority="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:P28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:P29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0:P30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P33">
    <cfRule type="colorScale" priority="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:P34">
    <cfRule type="colorScale" priority="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:P35">
    <cfRule type="colorScale" priority="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Q7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Q8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Q9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Q10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Q1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Q1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Q13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Q14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Q15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Q17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D20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:N44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:N46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5:N45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:N46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2:N52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2:N54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3:N53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:N5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8:N5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:N6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N59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0:N60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4:N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4:N66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5:N65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6:N66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 E18 H18:J18 L18 N18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3 C23 G23 L23 N23 P23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 C23 G23:J23 L23 N23 P23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8 C28 G28:J28 L28 N28 P28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 C33 G33:J33 L33 N33 P33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:J19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:J15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4">
    <cfRule type="colorScale" priority="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5">
    <cfRule type="colorScale" priority="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0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"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2:W48 W50:W53"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2:W55"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9:W50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5"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1:N51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:N67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8:G20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0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P1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P19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P20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9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2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:R3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:R3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:R3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7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9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1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N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R35"/>
  <sheetViews>
    <sheetView workbookViewId="0">
      <selection activeCell="C29" sqref="C29"/>
    </sheetView>
  </sheetViews>
  <sheetFormatPr baseColWidth="10" defaultRowHeight="16"/>
  <cols>
    <col min="2" max="2" width="24.83203125" bestFit="1" customWidth="1"/>
  </cols>
  <sheetData>
    <row r="3" spans="1:18" ht="18" customHeight="1">
      <c r="A3" s="3"/>
      <c r="B3" s="3"/>
      <c r="C3" s="3"/>
      <c r="D3" s="3"/>
      <c r="E3" s="3"/>
      <c r="F3" s="1"/>
      <c r="G3" s="2"/>
      <c r="H3" s="2"/>
      <c r="I3" s="2"/>
      <c r="J3" s="2"/>
      <c r="K3" s="2"/>
      <c r="L3" s="2"/>
      <c r="M3" s="3"/>
      <c r="N3" s="3"/>
      <c r="O3" s="3" t="s">
        <v>57</v>
      </c>
    </row>
    <row r="4" spans="1:18" ht="18" customHeight="1">
      <c r="A4" s="3"/>
      <c r="B4" s="3" t="s">
        <v>40</v>
      </c>
      <c r="C4" s="20" t="s">
        <v>40</v>
      </c>
      <c r="D4" s="20">
        <v>1000</v>
      </c>
      <c r="E4" s="20">
        <v>5000</v>
      </c>
      <c r="F4" s="21">
        <v>10000</v>
      </c>
      <c r="G4" s="21">
        <v>15000</v>
      </c>
      <c r="H4" s="21">
        <v>20000</v>
      </c>
      <c r="I4" s="21">
        <v>25000</v>
      </c>
      <c r="J4" s="21">
        <v>30000</v>
      </c>
      <c r="K4" s="21">
        <v>35000</v>
      </c>
      <c r="L4" s="21">
        <v>40000</v>
      </c>
      <c r="M4" s="21">
        <v>45000</v>
      </c>
      <c r="N4" s="3">
        <v>50000</v>
      </c>
      <c r="O4" s="3">
        <v>0</v>
      </c>
    </row>
    <row r="5" spans="1:18" ht="18" customHeight="1">
      <c r="A5" s="3"/>
      <c r="B5" s="3" t="s">
        <v>58</v>
      </c>
      <c r="C5" s="5" t="s">
        <v>41</v>
      </c>
      <c r="D5" s="5"/>
      <c r="E5" s="5"/>
      <c r="F5" s="5"/>
      <c r="G5" s="5"/>
      <c r="H5" s="5"/>
      <c r="I5" s="5"/>
      <c r="J5" s="5"/>
      <c r="K5" s="5"/>
      <c r="L5" s="5"/>
      <c r="M5" s="3"/>
      <c r="N5" s="3"/>
      <c r="O5" s="3"/>
    </row>
    <row r="6" spans="1:18" ht="18" customHeight="1">
      <c r="A6" s="32" t="s">
        <v>42</v>
      </c>
      <c r="B6" s="7" t="s">
        <v>59</v>
      </c>
      <c r="C6" s="5" t="s">
        <v>43</v>
      </c>
      <c r="D6" s="5">
        <v>20.104249954223629</v>
      </c>
      <c r="E6" s="5">
        <v>25.642343521118161</v>
      </c>
      <c r="F6" s="5">
        <v>20.303323745727539</v>
      </c>
      <c r="G6" s="5">
        <v>19.73834228515625</v>
      </c>
      <c r="H6" s="5">
        <v>19.788825988769531</v>
      </c>
      <c r="I6" s="5">
        <v>17.31105804443359</v>
      </c>
      <c r="J6" s="5">
        <v>22.93356895446777</v>
      </c>
      <c r="K6" s="5">
        <v>17.169919967651371</v>
      </c>
      <c r="L6" s="5">
        <v>16.593074798583981</v>
      </c>
      <c r="M6" s="5">
        <v>22.202083587646481</v>
      </c>
      <c r="N6" s="3">
        <v>17.002241134643551</v>
      </c>
      <c r="O6" s="5" t="s">
        <v>44</v>
      </c>
      <c r="P6">
        <v>5.3349065780639648</v>
      </c>
      <c r="Q6" t="s">
        <v>45</v>
      </c>
      <c r="R6">
        <v>2.638597726821899</v>
      </c>
    </row>
    <row r="7" spans="1:18" ht="18" customHeight="1">
      <c r="A7" s="35"/>
      <c r="B7" s="7" t="s">
        <v>60</v>
      </c>
      <c r="C7" s="5" t="s">
        <v>46</v>
      </c>
      <c r="D7" s="5">
        <v>11.69381046295166</v>
      </c>
      <c r="E7" s="5">
        <v>12.163814544677731</v>
      </c>
      <c r="F7" s="5">
        <v>11.07769298553467</v>
      </c>
      <c r="G7" s="5">
        <v>10.216055870056151</v>
      </c>
      <c r="H7" s="5">
        <v>10.075886726379389</v>
      </c>
      <c r="I7" s="5">
        <v>9.7575874328613281</v>
      </c>
      <c r="J7" s="5">
        <v>11.00800037384033</v>
      </c>
      <c r="K7" s="5">
        <v>9.0889005661010742</v>
      </c>
      <c r="L7" s="5">
        <v>9.7591714859008789</v>
      </c>
      <c r="M7" s="5">
        <v>10.43219089508057</v>
      </c>
      <c r="N7" s="3">
        <v>9.5343103408813477</v>
      </c>
      <c r="O7" s="5" t="s">
        <v>47</v>
      </c>
      <c r="P7">
        <v>4.065366268157959</v>
      </c>
      <c r="Q7" t="s">
        <v>45</v>
      </c>
      <c r="R7">
        <v>2.638597726821899</v>
      </c>
    </row>
    <row r="8" spans="1:18" ht="18" customHeight="1">
      <c r="A8" s="35"/>
      <c r="B8" s="7" t="s">
        <v>52</v>
      </c>
      <c r="C8" s="5" t="s">
        <v>48</v>
      </c>
      <c r="D8" s="5">
        <v>6.043358325958252</v>
      </c>
      <c r="E8" s="5">
        <v>5.7533378601074219</v>
      </c>
      <c r="F8" s="5">
        <v>5.449683666229248</v>
      </c>
      <c r="G8" s="5">
        <v>5.3941268920898438</v>
      </c>
      <c r="H8" s="5">
        <v>4.8900613784790039</v>
      </c>
      <c r="I8" s="5">
        <v>5.1264901161193848</v>
      </c>
      <c r="J8" s="5">
        <v>5.1033439636230469</v>
      </c>
      <c r="K8" s="5">
        <v>4.8022480010986328</v>
      </c>
      <c r="L8" s="5">
        <v>5.0457029342651367</v>
      </c>
      <c r="M8" s="5">
        <v>5.2489161491394043</v>
      </c>
      <c r="N8" s="3">
        <v>4.8296875953674316</v>
      </c>
      <c r="O8" s="14" t="s">
        <v>49</v>
      </c>
      <c r="P8">
        <v>2.7947921752929692</v>
      </c>
      <c r="Q8" t="s">
        <v>45</v>
      </c>
      <c r="R8">
        <v>2.638597726821899</v>
      </c>
    </row>
    <row r="9" spans="1:18" ht="18" customHeight="1">
      <c r="A9" s="3"/>
      <c r="B9" s="3"/>
      <c r="C9" s="5"/>
      <c r="D9" s="5"/>
      <c r="E9" s="5"/>
      <c r="F9" s="5"/>
      <c r="G9" s="5"/>
      <c r="H9" s="5"/>
      <c r="I9" s="5"/>
      <c r="J9" s="5"/>
      <c r="K9" s="5"/>
      <c r="L9" s="5"/>
      <c r="M9" s="3"/>
      <c r="N9" s="3"/>
      <c r="O9" s="3"/>
    </row>
    <row r="10" spans="1:18" ht="18" customHeight="1">
      <c r="A10" s="3"/>
      <c r="B10" s="3" t="s">
        <v>40</v>
      </c>
      <c r="C10" s="20">
        <v>1000</v>
      </c>
      <c r="D10" s="20">
        <v>5000</v>
      </c>
      <c r="E10" s="20">
        <v>10000</v>
      </c>
      <c r="F10" s="21">
        <v>15000</v>
      </c>
      <c r="G10" s="21">
        <v>20000</v>
      </c>
      <c r="H10" s="21">
        <v>25000</v>
      </c>
      <c r="I10" s="21">
        <v>30000</v>
      </c>
      <c r="J10" s="21">
        <v>35000</v>
      </c>
      <c r="K10" s="21">
        <v>40000</v>
      </c>
      <c r="L10" s="21">
        <v>45000</v>
      </c>
      <c r="M10" s="21">
        <v>50000</v>
      </c>
      <c r="N10" s="3"/>
      <c r="O10" s="3">
        <v>60000</v>
      </c>
    </row>
    <row r="11" spans="1:18" ht="18" customHeight="1">
      <c r="A11" s="3"/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3"/>
      <c r="N11" s="3"/>
      <c r="O11" s="3"/>
    </row>
    <row r="12" spans="1:18" ht="18" customHeight="1">
      <c r="A12" s="32" t="s">
        <v>42</v>
      </c>
      <c r="B12" s="7" t="s">
        <v>61</v>
      </c>
      <c r="C12" s="5">
        <v>19.206299999999999</v>
      </c>
      <c r="D12" s="5">
        <v>13.2354</v>
      </c>
      <c r="E12" s="5">
        <v>11.547000000000001</v>
      </c>
      <c r="F12" s="5">
        <v>12.4133</v>
      </c>
      <c r="G12" s="5">
        <v>10.398400000000001</v>
      </c>
      <c r="H12" s="5">
        <v>11.6882</v>
      </c>
      <c r="I12" s="5"/>
      <c r="J12" s="5"/>
      <c r="K12" s="5"/>
      <c r="L12" s="5"/>
      <c r="M12" s="5"/>
      <c r="N12" s="3"/>
      <c r="O12" s="3"/>
    </row>
    <row r="13" spans="1:18" ht="18" customHeight="1">
      <c r="A13" s="35"/>
      <c r="B13" s="7" t="s">
        <v>62</v>
      </c>
      <c r="C13" s="5">
        <v>10.387</v>
      </c>
      <c r="D13" s="5">
        <v>7.5058999999999996</v>
      </c>
      <c r="E13" s="5">
        <v>7.9410999999999996</v>
      </c>
      <c r="F13" s="5">
        <v>6.7460000000000004</v>
      </c>
      <c r="G13" s="5">
        <v>6.7504999999999997</v>
      </c>
      <c r="H13" s="5">
        <v>7.8262999999999998</v>
      </c>
      <c r="I13" s="5"/>
      <c r="J13" s="5"/>
      <c r="K13" s="5"/>
      <c r="L13" s="5"/>
      <c r="M13" s="5"/>
      <c r="N13" s="3"/>
      <c r="O13" s="3"/>
    </row>
    <row r="14" spans="1:18" ht="18" customHeight="1">
      <c r="A14" s="35"/>
      <c r="B14" s="7" t="s">
        <v>63</v>
      </c>
      <c r="C14" s="5">
        <v>5.8516000000000004</v>
      </c>
      <c r="D14" s="5">
        <v>4.4569000000000001</v>
      </c>
      <c r="E14" s="5">
        <v>4.3131000000000004</v>
      </c>
      <c r="F14" s="5">
        <v>3.4537</v>
      </c>
      <c r="G14" s="5">
        <v>3.9409000000000001</v>
      </c>
      <c r="H14" s="5">
        <v>3.8717999999999999</v>
      </c>
      <c r="I14" s="5"/>
      <c r="J14" s="5"/>
      <c r="K14" s="5"/>
      <c r="L14" s="5"/>
      <c r="M14" s="5"/>
      <c r="N14" s="3"/>
      <c r="O14" s="3"/>
    </row>
    <row r="15" spans="1:18" ht="18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ht="18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8" ht="18" customHeight="1">
      <c r="A17" s="3"/>
      <c r="B17" s="3"/>
      <c r="C17" s="20" t="s">
        <v>40</v>
      </c>
      <c r="D17" s="20">
        <v>1000</v>
      </c>
      <c r="E17" s="20">
        <v>5000</v>
      </c>
      <c r="F17" s="21">
        <v>10000</v>
      </c>
      <c r="G17" s="21">
        <v>15000</v>
      </c>
      <c r="H17" s="21">
        <v>20000</v>
      </c>
      <c r="I17" s="21">
        <v>25000</v>
      </c>
      <c r="J17" s="21">
        <v>30000</v>
      </c>
      <c r="K17" s="21">
        <v>35000</v>
      </c>
      <c r="L17" s="21">
        <v>40000</v>
      </c>
      <c r="M17" s="21">
        <v>45000</v>
      </c>
      <c r="N17" s="3">
        <v>50000</v>
      </c>
      <c r="O17" s="3"/>
    </row>
    <row r="18" spans="1:18" ht="18" customHeight="1">
      <c r="A18" s="3"/>
      <c r="B18" s="3"/>
      <c r="C18" s="5" t="s">
        <v>50</v>
      </c>
      <c r="D18" s="5"/>
      <c r="E18" s="5"/>
      <c r="F18" s="5"/>
      <c r="G18" s="5"/>
      <c r="H18" s="5"/>
      <c r="I18" s="5"/>
      <c r="J18" s="5"/>
      <c r="K18" s="5"/>
      <c r="L18" s="5"/>
      <c r="M18" s="3"/>
      <c r="N18" s="3"/>
      <c r="O18" s="3"/>
    </row>
    <row r="19" spans="1:18" ht="18" customHeight="1">
      <c r="A19" s="19"/>
      <c r="B19" s="7"/>
      <c r="C19" s="5" t="s">
        <v>43</v>
      </c>
      <c r="D19" s="5">
        <v>0.434746102302838</v>
      </c>
      <c r="E19" s="5">
        <v>0.47906464725244841</v>
      </c>
      <c r="F19" s="5">
        <v>0.43643207976577308</v>
      </c>
      <c r="G19" s="5">
        <v>0.43966165237838262</v>
      </c>
      <c r="H19" s="5">
        <v>0.46096292633537012</v>
      </c>
      <c r="I19" s="5">
        <v>0.41752637981323598</v>
      </c>
      <c r="J19" s="5">
        <v>0.52079132182104393</v>
      </c>
      <c r="K19" s="5">
        <v>0.4442292582849558</v>
      </c>
      <c r="L19" s="5">
        <v>0.44295561427958241</v>
      </c>
      <c r="M19" s="5">
        <v>0.51229482809076499</v>
      </c>
      <c r="N19" s="3">
        <v>0.43504187603004701</v>
      </c>
      <c r="O19" s="5" t="s">
        <v>44</v>
      </c>
      <c r="P19">
        <v>0.45180688704890121</v>
      </c>
      <c r="Q19" t="s">
        <v>45</v>
      </c>
      <c r="R19">
        <v>0.62070312500000002</v>
      </c>
    </row>
    <row r="20" spans="1:18" ht="18" customHeight="1">
      <c r="B20" s="7"/>
      <c r="C20" s="5" t="s">
        <v>46</v>
      </c>
      <c r="D20" s="5">
        <v>0.47700018578138281</v>
      </c>
      <c r="E20" s="5">
        <v>0.50369627435233821</v>
      </c>
      <c r="F20" s="5">
        <v>0.49490323411023562</v>
      </c>
      <c r="G20" s="5">
        <v>0.46038710650915482</v>
      </c>
      <c r="H20" s="5">
        <v>0.49009451505785218</v>
      </c>
      <c r="I20" s="5">
        <v>0.47612990966607233</v>
      </c>
      <c r="J20" s="5">
        <v>0.56601573007564976</v>
      </c>
      <c r="K20" s="5">
        <v>0.4829679223470319</v>
      </c>
      <c r="L20" s="5">
        <v>0.49408004748901257</v>
      </c>
      <c r="M20" s="5">
        <v>0.5588273675088411</v>
      </c>
      <c r="N20" s="3">
        <v>0.49612292083305531</v>
      </c>
      <c r="O20" s="5" t="s">
        <v>47</v>
      </c>
      <c r="P20">
        <v>0.51374621505645135</v>
      </c>
      <c r="Q20" t="s">
        <v>45</v>
      </c>
      <c r="R20">
        <v>0.62070312500000002</v>
      </c>
    </row>
    <row r="21" spans="1:18" ht="18" customHeight="1">
      <c r="B21" s="7"/>
      <c r="C21" s="5" t="s">
        <v>48</v>
      </c>
      <c r="D21" s="5">
        <v>0.50544468592833569</v>
      </c>
      <c r="E21" s="5">
        <v>0.51919936645303499</v>
      </c>
      <c r="F21" s="5">
        <v>0.5178086392366672</v>
      </c>
      <c r="G21" s="5">
        <v>0.49548374576556609</v>
      </c>
      <c r="H21" s="5">
        <v>0.51133784826489204</v>
      </c>
      <c r="I21" s="5">
        <v>0.50891858524167999</v>
      </c>
      <c r="J21" s="5">
        <v>0.57174209022358824</v>
      </c>
      <c r="K21" s="5">
        <v>0.5275748647375792</v>
      </c>
      <c r="L21" s="5">
        <v>0.5119562703885332</v>
      </c>
      <c r="M21" s="5">
        <v>0.58431229729868717</v>
      </c>
      <c r="N21" s="3">
        <v>0.50738634842168706</v>
      </c>
      <c r="O21" s="14" t="s">
        <v>49</v>
      </c>
      <c r="P21">
        <v>0.53396738869179805</v>
      </c>
      <c r="Q21" t="s">
        <v>45</v>
      </c>
      <c r="R21">
        <v>0.62070312500000002</v>
      </c>
    </row>
    <row r="24" spans="1:18" ht="18" customHeight="1">
      <c r="A24" s="3"/>
      <c r="B24" s="3"/>
      <c r="C24" s="20" t="s">
        <v>40</v>
      </c>
      <c r="D24" s="20">
        <v>1000</v>
      </c>
      <c r="E24" s="20">
        <v>5000</v>
      </c>
      <c r="F24" s="21">
        <v>10000</v>
      </c>
      <c r="G24" s="21">
        <v>15000</v>
      </c>
      <c r="H24" s="21">
        <v>20000</v>
      </c>
      <c r="I24" s="21">
        <v>25000</v>
      </c>
      <c r="J24" s="21">
        <v>30000</v>
      </c>
      <c r="K24" s="21">
        <v>35000</v>
      </c>
      <c r="L24" s="21">
        <v>40000</v>
      </c>
      <c r="M24" s="21">
        <v>45000</v>
      </c>
      <c r="N24" s="3">
        <v>50000</v>
      </c>
      <c r="O24" s="3"/>
    </row>
    <row r="25" spans="1:18" ht="18" customHeight="1">
      <c r="A25" s="3"/>
      <c r="B25" s="3"/>
      <c r="C25" s="5" t="s">
        <v>53</v>
      </c>
      <c r="D25" s="5"/>
      <c r="E25" s="5"/>
      <c r="F25" s="5"/>
      <c r="G25" s="5"/>
      <c r="H25" s="5"/>
      <c r="I25" s="5"/>
      <c r="J25" s="5"/>
      <c r="K25" s="5"/>
      <c r="L25" s="5"/>
      <c r="M25" s="3"/>
      <c r="N25" s="3"/>
      <c r="O25" s="3"/>
    </row>
    <row r="26" spans="1:18" ht="18" customHeight="1">
      <c r="A26" s="19"/>
      <c r="B26" s="7"/>
      <c r="C26" s="5" t="s">
        <v>43</v>
      </c>
      <c r="D26" s="5">
        <v>0.74652547172465189</v>
      </c>
      <c r="E26" s="5">
        <v>0.81121978571659259</v>
      </c>
      <c r="F26" s="5">
        <v>0.75412325159731453</v>
      </c>
      <c r="G26" s="5">
        <v>0.74755555643154015</v>
      </c>
      <c r="H26" s="5">
        <v>0.77535475010029398</v>
      </c>
      <c r="I26" s="5">
        <v>0.71973070732573075</v>
      </c>
      <c r="J26" s="5">
        <v>0.8262551751359607</v>
      </c>
      <c r="K26" s="5">
        <v>0.75545700415443306</v>
      </c>
      <c r="L26" s="5">
        <v>0.74783660884775016</v>
      </c>
      <c r="M26" s="5">
        <v>0.81136321311394388</v>
      </c>
      <c r="N26" s="3">
        <v>0.75343628062949686</v>
      </c>
      <c r="O26" s="5" t="s">
        <v>44</v>
      </c>
      <c r="P26">
        <v>0.74583639920375933</v>
      </c>
      <c r="Q26" t="s">
        <v>45</v>
      </c>
      <c r="R26">
        <v>0.89566929133858264</v>
      </c>
    </row>
    <row r="27" spans="1:18" ht="18" customHeight="1">
      <c r="B27" s="7"/>
      <c r="C27" s="5" t="s">
        <v>46</v>
      </c>
      <c r="D27" s="5">
        <v>0.76534171361402281</v>
      </c>
      <c r="E27" s="5">
        <v>0.8087142432097123</v>
      </c>
      <c r="F27" s="5">
        <v>0.7868520256811472</v>
      </c>
      <c r="G27" s="5">
        <v>0.74486366854124841</v>
      </c>
      <c r="H27" s="5">
        <v>0.7818280329221895</v>
      </c>
      <c r="I27" s="5">
        <v>0.76801263041532453</v>
      </c>
      <c r="J27" s="5">
        <v>0.84659112356029209</v>
      </c>
      <c r="K27" s="5">
        <v>0.77736319903353523</v>
      </c>
      <c r="L27" s="5">
        <v>0.78540510404501962</v>
      </c>
      <c r="M27" s="5">
        <v>0.83819133017264758</v>
      </c>
      <c r="N27" s="3">
        <v>0.79124373913236257</v>
      </c>
      <c r="O27" s="5" t="s">
        <v>47</v>
      </c>
      <c r="P27">
        <v>0.82281252773510838</v>
      </c>
      <c r="Q27" t="s">
        <v>45</v>
      </c>
      <c r="R27">
        <v>0.89566929133858264</v>
      </c>
    </row>
    <row r="28" spans="1:18" ht="18" customHeight="1">
      <c r="B28" s="7"/>
      <c r="C28" s="5" t="s">
        <v>48</v>
      </c>
      <c r="D28" s="5">
        <v>0.78305976211101325</v>
      </c>
      <c r="E28" s="5">
        <v>0.80640732986788644</v>
      </c>
      <c r="F28" s="5">
        <v>0.79371047274623319</v>
      </c>
      <c r="G28" s="5">
        <v>0.76274480262423139</v>
      </c>
      <c r="H28" s="5">
        <v>0.80094105184201136</v>
      </c>
      <c r="I28" s="5">
        <v>0.79097528958960328</v>
      </c>
      <c r="J28" s="5">
        <v>0.84191656043515994</v>
      </c>
      <c r="K28" s="5">
        <v>0.81604207657097916</v>
      </c>
      <c r="L28" s="5">
        <v>0.79876702355847495</v>
      </c>
      <c r="M28" s="5">
        <v>0.85525985512689795</v>
      </c>
      <c r="N28" s="3">
        <v>0.7923201582427839</v>
      </c>
      <c r="O28" s="14" t="s">
        <v>49</v>
      </c>
      <c r="P28">
        <v>0.84944915824915823</v>
      </c>
      <c r="Q28" t="s">
        <v>45</v>
      </c>
      <c r="R28">
        <v>0.89566929133858264</v>
      </c>
    </row>
    <row r="31" spans="1:18" ht="18" customHeight="1">
      <c r="A31" s="3"/>
      <c r="B31" s="3"/>
      <c r="C31" s="20" t="s">
        <v>40</v>
      </c>
      <c r="D31" s="20">
        <v>1000</v>
      </c>
      <c r="E31" s="20">
        <v>5000</v>
      </c>
      <c r="F31" s="21">
        <v>10000</v>
      </c>
      <c r="G31" s="21">
        <v>15000</v>
      </c>
      <c r="H31" s="21">
        <v>20000</v>
      </c>
      <c r="I31" s="21">
        <v>25000</v>
      </c>
      <c r="J31" s="21">
        <v>30000</v>
      </c>
      <c r="K31" s="21">
        <v>35000</v>
      </c>
      <c r="L31" s="21">
        <v>40000</v>
      </c>
      <c r="M31" s="21">
        <v>45000</v>
      </c>
      <c r="N31" s="3">
        <v>50000</v>
      </c>
      <c r="O31" s="3"/>
    </row>
    <row r="32" spans="1:18" ht="18" customHeight="1">
      <c r="A32" s="3"/>
      <c r="B32" s="3"/>
      <c r="C32" s="5" t="s">
        <v>56</v>
      </c>
      <c r="D32" s="5"/>
      <c r="E32" s="5"/>
      <c r="F32" s="5"/>
      <c r="G32" s="5"/>
      <c r="H32" s="5"/>
      <c r="I32" s="5"/>
      <c r="J32" s="5"/>
      <c r="K32" s="5"/>
      <c r="L32" s="5"/>
      <c r="M32" s="3"/>
      <c r="N32" s="3"/>
      <c r="O32" s="3"/>
    </row>
    <row r="33" spans="1:18" ht="18" customHeight="1">
      <c r="A33" s="19"/>
      <c r="B33" s="7"/>
      <c r="C33" s="5" t="s">
        <v>43</v>
      </c>
      <c r="D33" s="5">
        <v>0.87531987358508589</v>
      </c>
      <c r="E33" s="5">
        <v>0.92705327210134836</v>
      </c>
      <c r="F33" s="5">
        <v>0.88706991540636726</v>
      </c>
      <c r="G33" s="5">
        <v>0.88290067748587786</v>
      </c>
      <c r="H33" s="5">
        <v>0.90144861157840994</v>
      </c>
      <c r="I33" s="5">
        <v>0.85183254510560513</v>
      </c>
      <c r="J33" s="5">
        <v>0.92673174143007164</v>
      </c>
      <c r="K33" s="5">
        <v>0.88626530990835928</v>
      </c>
      <c r="L33" s="5">
        <v>0.87538642171314296</v>
      </c>
      <c r="M33" s="5">
        <v>0.91999611604154452</v>
      </c>
      <c r="N33" s="3">
        <v>0.88875210569139629</v>
      </c>
      <c r="O33" s="5" t="s">
        <v>44</v>
      </c>
      <c r="P33">
        <v>0.84474677234174611</v>
      </c>
      <c r="Q33" t="s">
        <v>45</v>
      </c>
      <c r="R33">
        <v>0.95404761904761903</v>
      </c>
    </row>
    <row r="34" spans="1:18" ht="18" customHeight="1">
      <c r="B34" s="7"/>
      <c r="C34" s="5" t="s">
        <v>46</v>
      </c>
      <c r="D34" s="5">
        <v>0.8638053978946415</v>
      </c>
      <c r="E34" s="5">
        <v>0.90644242006719788</v>
      </c>
      <c r="F34" s="5">
        <v>0.88380376650606718</v>
      </c>
      <c r="G34" s="5">
        <v>0.85239863078695977</v>
      </c>
      <c r="H34" s="5">
        <v>0.88013253828283966</v>
      </c>
      <c r="I34" s="5">
        <v>0.8735682715414933</v>
      </c>
      <c r="J34" s="5">
        <v>0.92423933338921627</v>
      </c>
      <c r="K34" s="5">
        <v>0.87781866784897555</v>
      </c>
      <c r="L34" s="5">
        <v>0.88642547798400417</v>
      </c>
      <c r="M34" s="5">
        <v>0.92326391572265776</v>
      </c>
      <c r="N34" s="3">
        <v>0.89187192516530245</v>
      </c>
      <c r="O34" s="5" t="s">
        <v>47</v>
      </c>
      <c r="P34">
        <v>0.91608081125972551</v>
      </c>
      <c r="Q34" t="s">
        <v>45</v>
      </c>
      <c r="R34">
        <v>0.95404761904761903</v>
      </c>
    </row>
    <row r="35" spans="1:18" ht="18" customHeight="1">
      <c r="B35" s="7"/>
      <c r="C35" s="5" t="s">
        <v>48</v>
      </c>
      <c r="D35" s="5">
        <v>0.87271895198542171</v>
      </c>
      <c r="E35" s="5">
        <v>0.89912724402315181</v>
      </c>
      <c r="F35" s="5">
        <v>0.88466541577332192</v>
      </c>
      <c r="G35" s="5">
        <v>0.85593587215352518</v>
      </c>
      <c r="H35" s="5">
        <v>0.89568166550500872</v>
      </c>
      <c r="I35" s="5">
        <v>0.88530257739937535</v>
      </c>
      <c r="J35" s="5">
        <v>0.92426966088465856</v>
      </c>
      <c r="K35" s="5">
        <v>0.90418289975705346</v>
      </c>
      <c r="L35" s="5">
        <v>0.89146503488518336</v>
      </c>
      <c r="M35" s="5">
        <v>0.93184572868871163</v>
      </c>
      <c r="N35" s="3">
        <v>0.88642525294994623</v>
      </c>
      <c r="O35" s="14" t="s">
        <v>49</v>
      </c>
      <c r="P35">
        <v>0.93346032823995473</v>
      </c>
      <c r="Q35" t="s">
        <v>45</v>
      </c>
      <c r="R35">
        <v>0.95404761904761903</v>
      </c>
    </row>
  </sheetData>
  <mergeCells count="2">
    <mergeCell ref="A6:A8"/>
    <mergeCell ref="A12:A14"/>
  </mergeCells>
  <conditionalFormatting sqref="C12:H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:H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:H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M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M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M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M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2"/>
  <sheetViews>
    <sheetView workbookViewId="0">
      <pane ySplit="1" topLeftCell="A20" activePane="bottomLeft" state="frozen"/>
      <selection pane="bottomLeft"/>
    </sheetView>
  </sheetViews>
  <sheetFormatPr baseColWidth="10" defaultColWidth="8.83203125" defaultRowHeight="16"/>
  <cols>
    <col min="1" max="1" width="40" customWidth="1"/>
    <col min="2" max="2" width="115" customWidth="1"/>
  </cols>
  <sheetData>
    <row r="1" spans="1:2">
      <c r="A1" s="24" t="s">
        <v>64</v>
      </c>
      <c r="B1" s="24" t="s">
        <v>65</v>
      </c>
    </row>
    <row r="2" spans="1:2">
      <c r="A2" t="s">
        <v>66</v>
      </c>
      <c r="B2" t="s">
        <v>67</v>
      </c>
    </row>
    <row r="3" spans="1:2">
      <c r="A3" t="s">
        <v>68</v>
      </c>
      <c r="B3" t="s">
        <v>69</v>
      </c>
    </row>
    <row r="4" spans="1:2">
      <c r="A4" t="s">
        <v>70</v>
      </c>
      <c r="B4" t="s">
        <v>71</v>
      </c>
    </row>
    <row r="5" spans="1:2">
      <c r="A5" t="s">
        <v>72</v>
      </c>
      <c r="B5" t="s">
        <v>73</v>
      </c>
    </row>
    <row r="6" spans="1:2">
      <c r="A6" t="s">
        <v>74</v>
      </c>
      <c r="B6">
        <v>128</v>
      </c>
    </row>
    <row r="7" spans="1:2">
      <c r="A7" t="s">
        <v>75</v>
      </c>
      <c r="B7">
        <v>32</v>
      </c>
    </row>
    <row r="8" spans="1:2">
      <c r="A8" t="s">
        <v>76</v>
      </c>
      <c r="B8" t="s">
        <v>77</v>
      </c>
    </row>
    <row r="9" spans="1:2">
      <c r="A9" t="s">
        <v>78</v>
      </c>
      <c r="B9" t="s">
        <v>79</v>
      </c>
    </row>
    <row r="10" spans="1:2">
      <c r="A10" t="s">
        <v>80</v>
      </c>
      <c r="B10" t="s">
        <v>81</v>
      </c>
    </row>
    <row r="11" spans="1:2">
      <c r="A11" t="s">
        <v>82</v>
      </c>
      <c r="B11">
        <v>30</v>
      </c>
    </row>
    <row r="13" spans="1:2">
      <c r="A13" t="s">
        <v>83</v>
      </c>
      <c r="B13" t="s">
        <v>84</v>
      </c>
    </row>
    <row r="14" spans="1:2">
      <c r="A14" t="s">
        <v>85</v>
      </c>
      <c r="B14" t="s">
        <v>86</v>
      </c>
    </row>
    <row r="15" spans="1:2">
      <c r="A15" t="s">
        <v>87</v>
      </c>
      <c r="B15" t="s">
        <v>88</v>
      </c>
    </row>
    <row r="16" spans="1:2">
      <c r="A16" t="s">
        <v>89</v>
      </c>
      <c r="B16" t="s">
        <v>90</v>
      </c>
    </row>
    <row r="17" spans="1:2">
      <c r="A17" t="s">
        <v>91</v>
      </c>
      <c r="B17" t="s">
        <v>92</v>
      </c>
    </row>
    <row r="18" spans="1:2">
      <c r="A18" t="s">
        <v>93</v>
      </c>
      <c r="B18" t="s">
        <v>94</v>
      </c>
    </row>
    <row r="19" spans="1:2">
      <c r="A19" t="s">
        <v>95</v>
      </c>
      <c r="B19">
        <v>19.28275299072266</v>
      </c>
    </row>
    <row r="20" spans="1:2">
      <c r="A20" t="s">
        <v>96</v>
      </c>
      <c r="B20">
        <v>0.49753925197561472</v>
      </c>
    </row>
    <row r="21" spans="1:2">
      <c r="A21" t="s">
        <v>97</v>
      </c>
      <c r="B21">
        <v>0.80688414020049692</v>
      </c>
    </row>
    <row r="22" spans="1:2">
      <c r="A22" t="s">
        <v>98</v>
      </c>
      <c r="B22">
        <v>0.91799360816919118</v>
      </c>
    </row>
    <row r="23" spans="1:2">
      <c r="A23" t="s">
        <v>99</v>
      </c>
      <c r="B23" t="s">
        <v>100</v>
      </c>
    </row>
    <row r="25" spans="1:2">
      <c r="A25" t="s">
        <v>101</v>
      </c>
      <c r="B25" t="s">
        <v>102</v>
      </c>
    </row>
    <row r="26" spans="1:2">
      <c r="A26" t="s">
        <v>103</v>
      </c>
      <c r="B26" t="s">
        <v>104</v>
      </c>
    </row>
    <row r="27" spans="1:2">
      <c r="A27" t="s">
        <v>105</v>
      </c>
      <c r="B27" t="s">
        <v>106</v>
      </c>
    </row>
    <row r="28" spans="1:2">
      <c r="A28" t="s">
        <v>107</v>
      </c>
      <c r="B28" t="s">
        <v>108</v>
      </c>
    </row>
    <row r="29" spans="1:2">
      <c r="A29" t="s">
        <v>109</v>
      </c>
      <c r="B29" t="s">
        <v>110</v>
      </c>
    </row>
    <row r="30" spans="1:2">
      <c r="A30" t="s">
        <v>111</v>
      </c>
      <c r="B30" t="s">
        <v>112</v>
      </c>
    </row>
    <row r="31" spans="1:2">
      <c r="A31" t="s">
        <v>113</v>
      </c>
      <c r="B31" t="s">
        <v>114</v>
      </c>
    </row>
    <row r="33" spans="1:2">
      <c r="A33" t="s">
        <v>115</v>
      </c>
      <c r="B33" t="s">
        <v>116</v>
      </c>
    </row>
    <row r="34" spans="1:2">
      <c r="A34" t="s">
        <v>117</v>
      </c>
      <c r="B34" t="s">
        <v>118</v>
      </c>
    </row>
    <row r="35" spans="1:2">
      <c r="A35" t="s">
        <v>119</v>
      </c>
      <c r="B35" t="s">
        <v>120</v>
      </c>
    </row>
    <row r="36" spans="1:2">
      <c r="A36" t="s">
        <v>121</v>
      </c>
      <c r="B36" t="s">
        <v>122</v>
      </c>
    </row>
    <row r="37" spans="1:2">
      <c r="A37" t="s">
        <v>123</v>
      </c>
      <c r="B37" t="s">
        <v>110</v>
      </c>
    </row>
    <row r="38" spans="1:2">
      <c r="A38" t="s">
        <v>124</v>
      </c>
      <c r="B38" t="s">
        <v>112</v>
      </c>
    </row>
    <row r="39" spans="1:2">
      <c r="A39" t="s">
        <v>125</v>
      </c>
      <c r="B39" t="s">
        <v>126</v>
      </c>
    </row>
    <row r="41" spans="1:2">
      <c r="A41" t="s">
        <v>127</v>
      </c>
      <c r="B41" t="s">
        <v>128</v>
      </c>
    </row>
    <row r="42" spans="1:2">
      <c r="A42" t="s">
        <v>129</v>
      </c>
      <c r="B42" t="s">
        <v>130</v>
      </c>
    </row>
    <row r="43" spans="1:2">
      <c r="A43" t="s">
        <v>131</v>
      </c>
      <c r="B43" t="s">
        <v>132</v>
      </c>
    </row>
    <row r="44" spans="1:2">
      <c r="A44" t="s">
        <v>133</v>
      </c>
      <c r="B44" t="s">
        <v>134</v>
      </c>
    </row>
    <row r="45" spans="1:2">
      <c r="A45" t="s">
        <v>135</v>
      </c>
      <c r="B45" t="s">
        <v>136</v>
      </c>
    </row>
    <row r="46" spans="1:2">
      <c r="A46" t="s">
        <v>137</v>
      </c>
      <c r="B46" t="s">
        <v>138</v>
      </c>
    </row>
    <row r="47" spans="1:2">
      <c r="A47" t="s">
        <v>139</v>
      </c>
      <c r="B47" t="s">
        <v>140</v>
      </c>
    </row>
    <row r="48" spans="1:2">
      <c r="A48" t="s">
        <v>141</v>
      </c>
      <c r="B48" t="s">
        <v>142</v>
      </c>
    </row>
    <row r="49" spans="1:2">
      <c r="A49" t="s">
        <v>143</v>
      </c>
      <c r="B49" t="s">
        <v>144</v>
      </c>
    </row>
    <row r="50" spans="1:2">
      <c r="A50" t="s">
        <v>145</v>
      </c>
      <c r="B50" t="s">
        <v>146</v>
      </c>
    </row>
    <row r="51" spans="1:2">
      <c r="A51" t="s">
        <v>147</v>
      </c>
      <c r="B51" t="s">
        <v>148</v>
      </c>
    </row>
    <row r="53" spans="1:2">
      <c r="A53" t="s">
        <v>149</v>
      </c>
      <c r="B53" t="s">
        <v>150</v>
      </c>
    </row>
    <row r="54" spans="1:2">
      <c r="A54" t="s">
        <v>151</v>
      </c>
      <c r="B54" t="s">
        <v>152</v>
      </c>
    </row>
    <row r="55" spans="1:2">
      <c r="A55" t="s">
        <v>153</v>
      </c>
      <c r="B55" t="s">
        <v>154</v>
      </c>
    </row>
    <row r="56" spans="1:2">
      <c r="A56" t="s">
        <v>155</v>
      </c>
      <c r="B56" t="s">
        <v>156</v>
      </c>
    </row>
    <row r="57" spans="1:2">
      <c r="A57" t="s">
        <v>157</v>
      </c>
      <c r="B57">
        <v>125</v>
      </c>
    </row>
    <row r="58" spans="1:2">
      <c r="A58" t="s">
        <v>135</v>
      </c>
      <c r="B58" t="s">
        <v>158</v>
      </c>
    </row>
    <row r="59" spans="1:2">
      <c r="A59" t="s">
        <v>137</v>
      </c>
      <c r="B59" t="s">
        <v>159</v>
      </c>
    </row>
    <row r="60" spans="1:2">
      <c r="A60" t="s">
        <v>160</v>
      </c>
      <c r="B60" t="s">
        <v>161</v>
      </c>
    </row>
    <row r="61" spans="1:2">
      <c r="A61" t="s">
        <v>162</v>
      </c>
      <c r="B61" t="s">
        <v>163</v>
      </c>
    </row>
    <row r="62" spans="1:2">
      <c r="A62" t="s">
        <v>164</v>
      </c>
      <c r="B62" t="s">
        <v>165</v>
      </c>
    </row>
    <row r="63" spans="1:2">
      <c r="A63" t="s">
        <v>166</v>
      </c>
      <c r="B63" t="s">
        <v>167</v>
      </c>
    </row>
    <row r="64" spans="1:2">
      <c r="A64" t="s">
        <v>168</v>
      </c>
      <c r="B64" t="s">
        <v>169</v>
      </c>
    </row>
    <row r="65" spans="1:2">
      <c r="A65" t="s">
        <v>170</v>
      </c>
      <c r="B65" t="s">
        <v>171</v>
      </c>
    </row>
    <row r="67" spans="1:2">
      <c r="A67" t="s">
        <v>172</v>
      </c>
      <c r="B67" t="s">
        <v>173</v>
      </c>
    </row>
    <row r="68" spans="1:2">
      <c r="A68" t="s">
        <v>174</v>
      </c>
      <c r="B68" t="s">
        <v>175</v>
      </c>
    </row>
    <row r="69" spans="1:2">
      <c r="A69" t="s">
        <v>176</v>
      </c>
      <c r="B69" t="s">
        <v>177</v>
      </c>
    </row>
    <row r="70" spans="1:2">
      <c r="A70" t="s">
        <v>178</v>
      </c>
      <c r="B70" t="s">
        <v>179</v>
      </c>
    </row>
    <row r="71" spans="1:2">
      <c r="A71" t="s">
        <v>180</v>
      </c>
      <c r="B71">
        <v>100</v>
      </c>
    </row>
    <row r="72" spans="1:2">
      <c r="A72" t="s">
        <v>181</v>
      </c>
      <c r="B72" t="s">
        <v>182</v>
      </c>
    </row>
    <row r="73" spans="1:2">
      <c r="A73" t="s">
        <v>183</v>
      </c>
      <c r="B73" t="s">
        <v>184</v>
      </c>
    </row>
    <row r="74" spans="1:2">
      <c r="A74" t="s">
        <v>185</v>
      </c>
      <c r="B74" t="s">
        <v>186</v>
      </c>
    </row>
    <row r="75" spans="1:2">
      <c r="A75" t="s">
        <v>187</v>
      </c>
      <c r="B75" t="s">
        <v>188</v>
      </c>
    </row>
    <row r="76" spans="1:2">
      <c r="A76" t="s">
        <v>189</v>
      </c>
      <c r="B76" t="s">
        <v>179</v>
      </c>
    </row>
    <row r="77" spans="1:2">
      <c r="A77" t="s">
        <v>190</v>
      </c>
      <c r="B77">
        <v>100</v>
      </c>
    </row>
    <row r="78" spans="1:2">
      <c r="A78" t="s">
        <v>191</v>
      </c>
      <c r="B78" t="s">
        <v>182</v>
      </c>
    </row>
    <row r="79" spans="1:2">
      <c r="A79" t="s">
        <v>192</v>
      </c>
      <c r="B79" t="s">
        <v>193</v>
      </c>
    </row>
    <row r="80" spans="1:2">
      <c r="A80" t="s">
        <v>194</v>
      </c>
      <c r="B80" t="s">
        <v>195</v>
      </c>
    </row>
    <row r="81" spans="1:2">
      <c r="A81" t="s">
        <v>196</v>
      </c>
      <c r="B81" t="s">
        <v>197</v>
      </c>
    </row>
    <row r="82" spans="1:2">
      <c r="A82" t="s">
        <v>198</v>
      </c>
      <c r="B82" t="s">
        <v>179</v>
      </c>
    </row>
    <row r="83" spans="1:2">
      <c r="A83" t="s">
        <v>199</v>
      </c>
      <c r="B83">
        <v>100</v>
      </c>
    </row>
    <row r="84" spans="1:2">
      <c r="A84" t="s">
        <v>200</v>
      </c>
      <c r="B84" t="s">
        <v>182</v>
      </c>
    </row>
    <row r="85" spans="1:2">
      <c r="A85" t="s">
        <v>201</v>
      </c>
      <c r="B85" t="s">
        <v>173</v>
      </c>
    </row>
    <row r="86" spans="1:2">
      <c r="A86" t="s">
        <v>202</v>
      </c>
      <c r="B86" t="s">
        <v>203</v>
      </c>
    </row>
    <row r="87" spans="1:2">
      <c r="A87" t="s">
        <v>204</v>
      </c>
      <c r="B87">
        <v>100</v>
      </c>
    </row>
    <row r="88" spans="1:2">
      <c r="A88" t="s">
        <v>205</v>
      </c>
      <c r="B88">
        <v>2.638597726821899</v>
      </c>
    </row>
    <row r="89" spans="1:2">
      <c r="A89" t="s">
        <v>206</v>
      </c>
      <c r="B89">
        <v>0.62070312500000002</v>
      </c>
    </row>
    <row r="90" spans="1:2">
      <c r="A90" t="s">
        <v>207</v>
      </c>
      <c r="B90" t="s">
        <v>208</v>
      </c>
    </row>
    <row r="91" spans="1:2">
      <c r="A91" t="s">
        <v>209</v>
      </c>
      <c r="B91" t="s">
        <v>210</v>
      </c>
    </row>
    <row r="92" spans="1:2">
      <c r="A92" t="s">
        <v>211</v>
      </c>
      <c r="B92" t="s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/>
  <cols>
    <col min="1" max="1" width="18" customWidth="1"/>
    <col min="2" max="2" width="25" customWidth="1"/>
    <col min="3" max="3" width="28" customWidth="1"/>
    <col min="4" max="4" width="38" customWidth="1"/>
    <col min="5" max="5" width="34" customWidth="1"/>
  </cols>
  <sheetData>
    <row r="1" spans="1:5">
      <c r="A1" s="30" t="s">
        <v>213</v>
      </c>
      <c r="B1" s="30" t="s">
        <v>214</v>
      </c>
      <c r="C1" s="30" t="s">
        <v>215</v>
      </c>
      <c r="D1" s="30" t="s">
        <v>216</v>
      </c>
      <c r="E1" s="30" t="s">
        <v>217</v>
      </c>
    </row>
    <row r="2" spans="1:5">
      <c r="A2">
        <v>500</v>
      </c>
      <c r="B2" s="31">
        <v>0.93260337829589846</v>
      </c>
      <c r="C2" s="31">
        <v>1.400905139286184</v>
      </c>
      <c r="D2" s="31"/>
      <c r="E2" s="31"/>
    </row>
    <row r="3" spans="1:5">
      <c r="A3">
        <v>1000</v>
      </c>
      <c r="B3" s="31">
        <v>0.83691970825195316</v>
      </c>
      <c r="C3" s="31">
        <v>1.274006599551194</v>
      </c>
      <c r="D3" s="31">
        <v>9.3790407180786133</v>
      </c>
      <c r="E3" s="31">
        <v>0.4460520012461453</v>
      </c>
    </row>
    <row r="4" spans="1:5">
      <c r="A4">
        <v>1500</v>
      </c>
      <c r="B4" s="31">
        <v>0.79495956420898439</v>
      </c>
      <c r="C4" s="31">
        <v>1.22095884091208</v>
      </c>
      <c r="D4" s="31"/>
      <c r="E4" s="31"/>
    </row>
    <row r="5" spans="1:5">
      <c r="A5">
        <v>2000</v>
      </c>
      <c r="B5" s="31">
        <v>0.77636428833007809</v>
      </c>
      <c r="C5" s="31">
        <v>1.1945310958768991</v>
      </c>
      <c r="D5" s="31">
        <v>10.394986152648929</v>
      </c>
      <c r="E5" s="31">
        <v>0.47321611177226391</v>
      </c>
    </row>
    <row r="6" spans="1:5">
      <c r="A6">
        <v>2500</v>
      </c>
      <c r="B6" s="31">
        <v>0.75883346557617193</v>
      </c>
      <c r="C6" s="31">
        <v>1.1697455324850401</v>
      </c>
      <c r="D6" s="31"/>
      <c r="E6" s="31"/>
    </row>
    <row r="7" spans="1:5">
      <c r="A7">
        <v>3000</v>
      </c>
      <c r="B7" s="31">
        <v>0.74435745239257811</v>
      </c>
      <c r="C7" s="31">
        <v>1.152170233075229</v>
      </c>
      <c r="D7" s="31">
        <v>11.25090980529785</v>
      </c>
      <c r="E7" s="31">
        <v>0.49774739781601413</v>
      </c>
    </row>
    <row r="8" spans="1:5">
      <c r="A8">
        <v>3500</v>
      </c>
      <c r="B8" s="31">
        <v>0.73343017578125003</v>
      </c>
      <c r="C8" s="31">
        <v>1.140523278753206</v>
      </c>
      <c r="D8" s="31"/>
      <c r="E8" s="31"/>
    </row>
    <row r="9" spans="1:5">
      <c r="A9">
        <v>4000</v>
      </c>
      <c r="B9" s="31">
        <v>0.7220189666748047</v>
      </c>
      <c r="C9" s="31">
        <v>1.1240254282567239</v>
      </c>
      <c r="D9" s="31">
        <v>12.12383365631104</v>
      </c>
      <c r="E9" s="31">
        <v>0.5437696423348416</v>
      </c>
    </row>
    <row r="10" spans="1:5">
      <c r="A10">
        <v>4500</v>
      </c>
      <c r="B10" s="31">
        <v>0.71641967773437498</v>
      </c>
      <c r="C10" s="31">
        <v>1.1188237735911091</v>
      </c>
      <c r="D10" s="31"/>
      <c r="E10" s="31"/>
    </row>
    <row r="11" spans="1:5">
      <c r="A11">
        <v>5000</v>
      </c>
      <c r="B11" s="31">
        <v>0.70275894165039066</v>
      </c>
      <c r="C11" s="31">
        <v>1.0988513462139149</v>
      </c>
      <c r="D11" s="31">
        <v>10.365827560424799</v>
      </c>
      <c r="E11" s="31">
        <v>0.51169280704920472</v>
      </c>
    </row>
    <row r="12" spans="1:5">
      <c r="A12">
        <v>5500</v>
      </c>
      <c r="B12" s="31">
        <v>0.69840042114257816</v>
      </c>
      <c r="C12" s="31">
        <v>1.0950573492059581</v>
      </c>
      <c r="D12" s="31"/>
      <c r="E12" s="31"/>
    </row>
    <row r="13" spans="1:5">
      <c r="A13">
        <v>6000</v>
      </c>
      <c r="B13" s="31">
        <v>0.70029525756835942</v>
      </c>
      <c r="C13" s="31">
        <v>1.09357584089564</v>
      </c>
      <c r="D13" s="31">
        <v>10.71428298950195</v>
      </c>
      <c r="E13" s="31">
        <v>0.53446038863343204</v>
      </c>
    </row>
    <row r="14" spans="1:5">
      <c r="A14">
        <v>6500</v>
      </c>
      <c r="B14" s="31">
        <v>0.69159416198730472</v>
      </c>
      <c r="C14" s="31">
        <v>1.085743561764319</v>
      </c>
      <c r="D14" s="31"/>
      <c r="E14" s="31"/>
    </row>
    <row r="15" spans="1:5">
      <c r="A15">
        <v>7000</v>
      </c>
      <c r="B15" s="31">
        <v>0.68368072509765621</v>
      </c>
      <c r="C15" s="31">
        <v>1.0744907772736241</v>
      </c>
      <c r="D15" s="31">
        <v>10.442209243774411</v>
      </c>
      <c r="E15" s="31">
        <v>0.45856037344013739</v>
      </c>
    </row>
    <row r="16" spans="1:5">
      <c r="A16">
        <v>7500</v>
      </c>
      <c r="B16" s="31">
        <v>0.69695243835449217</v>
      </c>
      <c r="C16" s="31">
        <v>1.0982789073288619</v>
      </c>
      <c r="D16" s="31"/>
      <c r="E16" s="31"/>
    </row>
    <row r="17" spans="1:5">
      <c r="A17">
        <v>8000</v>
      </c>
      <c r="B17" s="31">
        <v>0.67350158691406248</v>
      </c>
      <c r="C17" s="31">
        <v>1.0624785512017489</v>
      </c>
      <c r="D17" s="31">
        <v>9.2789325714111328</v>
      </c>
      <c r="E17" s="31">
        <v>0.49753956514661041</v>
      </c>
    </row>
    <row r="18" spans="1:5">
      <c r="A18">
        <v>8500</v>
      </c>
      <c r="B18" s="31">
        <v>0.66680595397949216</v>
      </c>
      <c r="C18" s="31">
        <v>1.052012565142697</v>
      </c>
      <c r="D18" s="31"/>
      <c r="E18" s="31"/>
    </row>
    <row r="19" spans="1:5">
      <c r="A19">
        <v>9000</v>
      </c>
      <c r="B19" s="31">
        <v>0.67113174438476564</v>
      </c>
      <c r="C19" s="31">
        <v>1.064239728722792</v>
      </c>
      <c r="D19" s="31">
        <v>10.67500591278076</v>
      </c>
      <c r="E19" s="31">
        <v>0.61033932420786008</v>
      </c>
    </row>
    <row r="20" spans="1:5">
      <c r="A20">
        <v>9500</v>
      </c>
      <c r="B20" s="31">
        <v>0.66990821838378911</v>
      </c>
      <c r="C20" s="31">
        <v>1.0569107899528181</v>
      </c>
      <c r="D20" s="31"/>
      <c r="E20" s="31"/>
    </row>
    <row r="21" spans="1:5">
      <c r="A21">
        <v>10000</v>
      </c>
      <c r="B21" s="31">
        <v>0.65904632568359378</v>
      </c>
      <c r="C21" s="31">
        <v>1.0444844222644181</v>
      </c>
      <c r="D21" s="31">
        <v>9.6825790405273438</v>
      </c>
      <c r="E21" s="31">
        <v>0.46283618264094373</v>
      </c>
    </row>
    <row r="22" spans="1:5">
      <c r="A22">
        <v>10500</v>
      </c>
      <c r="B22" s="31">
        <v>0.66208084106445309</v>
      </c>
      <c r="C22" s="31">
        <v>1.0469549513587491</v>
      </c>
      <c r="D22" s="31"/>
      <c r="E22" s="31"/>
    </row>
    <row r="23" spans="1:5">
      <c r="A23">
        <v>11000</v>
      </c>
      <c r="B23" s="31">
        <v>0.65963607788085943</v>
      </c>
      <c r="C23" s="31">
        <v>1.043326829338463</v>
      </c>
      <c r="D23" s="31">
        <v>9.1118383407592773</v>
      </c>
      <c r="E23" s="31">
        <v>0.44640014834207631</v>
      </c>
    </row>
    <row r="24" spans="1:5">
      <c r="A24">
        <v>11500</v>
      </c>
      <c r="B24" s="31">
        <v>0.6571797943115234</v>
      </c>
      <c r="C24" s="31">
        <v>1.0398726095507</v>
      </c>
      <c r="D24" s="31"/>
      <c r="E24" s="31"/>
    </row>
    <row r="25" spans="1:5">
      <c r="A25">
        <v>12000</v>
      </c>
      <c r="B25" s="31">
        <v>0.65819267272949222</v>
      </c>
      <c r="C25" s="31">
        <v>1.0359265444162229</v>
      </c>
      <c r="D25" s="31">
        <v>10.558199882507321</v>
      </c>
      <c r="E25" s="31">
        <v>0.48901449410014142</v>
      </c>
    </row>
    <row r="26" spans="1:5">
      <c r="A26">
        <v>12500</v>
      </c>
      <c r="B26" s="31">
        <v>0.65378456115722661</v>
      </c>
      <c r="C26" s="31">
        <v>1.0306037746802461</v>
      </c>
      <c r="D26" s="31"/>
      <c r="E26" s="31"/>
    </row>
    <row r="27" spans="1:5">
      <c r="A27">
        <v>13000</v>
      </c>
      <c r="B27" s="31">
        <v>0.65495857238769528</v>
      </c>
      <c r="C27" s="31">
        <v>1.033580598162031</v>
      </c>
      <c r="D27" s="31">
        <v>8.3869247436523438</v>
      </c>
      <c r="E27" s="31">
        <v>0.40489050545713939</v>
      </c>
    </row>
    <row r="28" spans="1:5">
      <c r="A28">
        <v>13500</v>
      </c>
      <c r="B28" s="31">
        <v>0.64867073059082037</v>
      </c>
      <c r="C28" s="31">
        <v>1.023277468846584</v>
      </c>
      <c r="D28" s="31"/>
      <c r="E28" s="31"/>
    </row>
    <row r="29" spans="1:5">
      <c r="A29">
        <v>14000</v>
      </c>
      <c r="B29" s="31">
        <v>0.64492973327636716</v>
      </c>
      <c r="C29" s="31">
        <v>1.0206275789932271</v>
      </c>
      <c r="D29" s="31">
        <v>10.553431510925289</v>
      </c>
      <c r="E29" s="31">
        <v>0.55567753790361041</v>
      </c>
    </row>
    <row r="30" spans="1:5">
      <c r="A30">
        <v>14500</v>
      </c>
      <c r="B30" s="31">
        <v>0.64366867065429689</v>
      </c>
      <c r="C30" s="31">
        <v>1.02002007710265</v>
      </c>
      <c r="D30" s="31"/>
      <c r="E30" s="31"/>
    </row>
    <row r="31" spans="1:5">
      <c r="A31">
        <v>15000</v>
      </c>
      <c r="B31" s="31">
        <v>0.6438728332519531</v>
      </c>
      <c r="C31" s="31">
        <v>1.0222206981159989</v>
      </c>
      <c r="D31" s="31">
        <v>8.9635534286499023</v>
      </c>
      <c r="E31" s="31">
        <v>0.44988055500430651</v>
      </c>
    </row>
    <row r="32" spans="1:5">
      <c r="A32">
        <v>15500</v>
      </c>
      <c r="B32" s="31">
        <v>0.63380493164062501</v>
      </c>
      <c r="C32" s="31">
        <v>1.009838769255113</v>
      </c>
      <c r="D32" s="31"/>
      <c r="E32" s="31"/>
    </row>
    <row r="33" spans="1:5">
      <c r="A33">
        <v>16000</v>
      </c>
      <c r="B33" s="31">
        <v>0.63785793304443361</v>
      </c>
      <c r="C33" s="31">
        <v>1.0130214755129221</v>
      </c>
      <c r="D33" s="31">
        <v>8.5359516143798828</v>
      </c>
      <c r="E33" s="31">
        <v>0.459070294658603</v>
      </c>
    </row>
    <row r="34" spans="1:5">
      <c r="A34">
        <v>16500</v>
      </c>
      <c r="B34" s="31">
        <v>0.63661731719970704</v>
      </c>
      <c r="C34" s="31">
        <v>1.0103069823929769</v>
      </c>
      <c r="D34" s="31"/>
      <c r="E34" s="31"/>
    </row>
    <row r="35" spans="1:5">
      <c r="A35">
        <v>17000</v>
      </c>
      <c r="B35" s="31">
        <v>0.63042903900146485</v>
      </c>
      <c r="C35" s="31">
        <v>1.006618945017097</v>
      </c>
      <c r="D35" s="31">
        <v>10.31134033203125</v>
      </c>
      <c r="E35" s="31">
        <v>0.47523052587242592</v>
      </c>
    </row>
    <row r="36" spans="1:5">
      <c r="A36">
        <v>17500</v>
      </c>
      <c r="B36" s="31">
        <v>0.62776157379150388</v>
      </c>
      <c r="C36" s="31">
        <v>1.001732407875485</v>
      </c>
      <c r="D36" s="31"/>
      <c r="E36" s="31"/>
    </row>
    <row r="37" spans="1:5">
      <c r="A37">
        <v>18000</v>
      </c>
      <c r="B37" s="31">
        <v>0.6318768310546875</v>
      </c>
      <c r="C37" s="31">
        <v>1.0043718302015521</v>
      </c>
      <c r="D37" s="31">
        <v>8.3862266540527344</v>
      </c>
      <c r="E37" s="31">
        <v>0.42726469296854119</v>
      </c>
    </row>
    <row r="38" spans="1:5">
      <c r="A38">
        <v>18500</v>
      </c>
      <c r="B38" s="31">
        <v>0.63228805541992184</v>
      </c>
      <c r="C38" s="31">
        <v>1.002844662922503</v>
      </c>
      <c r="D38" s="31"/>
      <c r="E38" s="31"/>
    </row>
    <row r="39" spans="1:5">
      <c r="A39">
        <v>19000</v>
      </c>
      <c r="B39" s="31">
        <v>0.62400241851806637</v>
      </c>
      <c r="C39" s="31">
        <v>0.99239903395640161</v>
      </c>
      <c r="D39" s="31">
        <v>8.3734264373779297</v>
      </c>
      <c r="E39" s="31">
        <v>0.47940333915644689</v>
      </c>
    </row>
    <row r="40" spans="1:5">
      <c r="A40">
        <v>19500</v>
      </c>
      <c r="B40" s="31">
        <v>0.62508270263671872</v>
      </c>
      <c r="C40" s="31">
        <v>0.99307576280660226</v>
      </c>
      <c r="D40" s="31"/>
      <c r="E40" s="31"/>
    </row>
    <row r="41" spans="1:5">
      <c r="A41">
        <v>20000</v>
      </c>
      <c r="B41" s="31">
        <v>0.61885131835937501</v>
      </c>
      <c r="C41" s="31">
        <v>0.98429671830818044</v>
      </c>
      <c r="D41" s="31">
        <v>9.217254638671875</v>
      </c>
      <c r="E41" s="31">
        <v>0.49424388716562723</v>
      </c>
    </row>
    <row r="42" spans="1:5">
      <c r="A42">
        <v>20500</v>
      </c>
      <c r="B42" s="31">
        <v>0.62661113739013674</v>
      </c>
      <c r="C42" s="31">
        <v>0.99582197959821139</v>
      </c>
      <c r="D42" s="31"/>
      <c r="E42" s="31"/>
    </row>
    <row r="43" spans="1:5">
      <c r="A43">
        <v>21000</v>
      </c>
      <c r="B43" s="31">
        <v>0.62379081726074215</v>
      </c>
      <c r="C43" s="31">
        <v>0.99483899530232789</v>
      </c>
      <c r="D43" s="31">
        <v>8.6084890365600586</v>
      </c>
      <c r="E43" s="31">
        <v>0.4413319744019864</v>
      </c>
    </row>
    <row r="44" spans="1:5">
      <c r="A44">
        <v>21500</v>
      </c>
      <c r="B44" s="31">
        <v>0.62607681274414062</v>
      </c>
      <c r="C44" s="31">
        <v>0.99507499630104557</v>
      </c>
      <c r="D44" s="31"/>
      <c r="E44" s="31"/>
    </row>
    <row r="45" spans="1:5">
      <c r="A45">
        <v>22000</v>
      </c>
      <c r="B45" s="31">
        <v>0.61929294586181638</v>
      </c>
      <c r="C45" s="31">
        <v>0.98389233782139807</v>
      </c>
      <c r="D45" s="31">
        <v>9.3620519638061523</v>
      </c>
      <c r="E45" s="31">
        <v>0.49630302603336668</v>
      </c>
    </row>
    <row r="46" spans="1:5">
      <c r="A46">
        <v>22500</v>
      </c>
      <c r="B46" s="31">
        <v>0.62065074920654295</v>
      </c>
      <c r="C46" s="31">
        <v>0.98782594467186169</v>
      </c>
      <c r="D46" s="31"/>
      <c r="E46" s="31"/>
    </row>
    <row r="47" spans="1:5">
      <c r="A47">
        <v>23000</v>
      </c>
      <c r="B47" s="31">
        <v>0.61657119750976563</v>
      </c>
      <c r="C47" s="31">
        <v>0.98082586606908007</v>
      </c>
      <c r="D47" s="31">
        <v>7.9773273468017578</v>
      </c>
      <c r="E47" s="31">
        <v>0.4502022358429611</v>
      </c>
    </row>
    <row r="48" spans="1:5">
      <c r="A48">
        <v>23500</v>
      </c>
      <c r="B48" s="31">
        <v>0.61006427764892579</v>
      </c>
      <c r="C48" s="31">
        <v>0.9747649108962978</v>
      </c>
      <c r="D48" s="31"/>
      <c r="E48" s="31"/>
    </row>
    <row r="49" spans="1:5">
      <c r="A49">
        <v>24000</v>
      </c>
      <c r="B49" s="31">
        <v>0.61014030456542967</v>
      </c>
      <c r="C49" s="31">
        <v>0.97648941996284611</v>
      </c>
      <c r="D49" s="31">
        <v>8.6270160675048828</v>
      </c>
      <c r="E49" s="31">
        <v>0.48244917227704742</v>
      </c>
    </row>
    <row r="50" spans="1:5">
      <c r="A50">
        <v>24500</v>
      </c>
      <c r="B50" s="31">
        <v>0.61055931091308591</v>
      </c>
      <c r="C50" s="31">
        <v>0.97673742971986588</v>
      </c>
      <c r="D50" s="31"/>
      <c r="E50" s="31"/>
    </row>
    <row r="51" spans="1:5">
      <c r="A51">
        <v>25000</v>
      </c>
      <c r="B51" s="31">
        <v>0.60880027770996092</v>
      </c>
      <c r="C51" s="31">
        <v>0.9760831771552575</v>
      </c>
      <c r="D51" s="31">
        <v>8.8107137680053711</v>
      </c>
      <c r="E51" s="31">
        <v>0.49179278125621129</v>
      </c>
    </row>
    <row r="52" spans="1:5">
      <c r="A52">
        <v>25500</v>
      </c>
      <c r="B52" s="31">
        <v>0.60517890930175777</v>
      </c>
      <c r="C52" s="31">
        <v>0.96916465536019591</v>
      </c>
      <c r="D52" s="31"/>
      <c r="E52" s="31"/>
    </row>
    <row r="53" spans="1:5">
      <c r="A53">
        <v>26000</v>
      </c>
      <c r="B53" s="31">
        <v>0.60471340179443356</v>
      </c>
      <c r="C53" s="31">
        <v>0.96853332860689156</v>
      </c>
      <c r="D53" s="31">
        <v>10.340001106262211</v>
      </c>
      <c r="E53" s="31">
        <v>0.51562995700434866</v>
      </c>
    </row>
    <row r="54" spans="1:5">
      <c r="A54">
        <v>26500</v>
      </c>
      <c r="B54" s="31">
        <v>0.6071147537231445</v>
      </c>
      <c r="C54" s="31">
        <v>0.97233907750131521</v>
      </c>
      <c r="D54" s="31"/>
      <c r="E54" s="31"/>
    </row>
    <row r="55" spans="1:5">
      <c r="A55">
        <v>27000</v>
      </c>
      <c r="B55" s="31">
        <v>0.60328052520751951</v>
      </c>
      <c r="C55" s="31">
        <v>0.96623638065529027</v>
      </c>
      <c r="D55" s="31">
        <v>8.2414216995239258</v>
      </c>
      <c r="E55" s="31">
        <v>0.42989226122105412</v>
      </c>
    </row>
    <row r="56" spans="1:5">
      <c r="A56">
        <v>27500</v>
      </c>
      <c r="B56" s="31">
        <v>0.60379104614257817</v>
      </c>
      <c r="C56" s="31">
        <v>0.96793038619139216</v>
      </c>
      <c r="D56" s="31"/>
      <c r="E56" s="31"/>
    </row>
    <row r="57" spans="1:5">
      <c r="A57">
        <v>28000</v>
      </c>
      <c r="B57" s="31">
        <v>0.6053174591064453</v>
      </c>
      <c r="C57" s="31">
        <v>0.96725956539340441</v>
      </c>
      <c r="D57" s="31">
        <v>8.8840904235839844</v>
      </c>
      <c r="E57" s="31">
        <v>0.45404323061458762</v>
      </c>
    </row>
    <row r="58" spans="1:5">
      <c r="A58">
        <v>28500</v>
      </c>
      <c r="B58" s="31">
        <v>0.60610324859619136</v>
      </c>
      <c r="C58" s="31">
        <v>0.96915977479532456</v>
      </c>
      <c r="D58" s="31"/>
      <c r="E58" s="31"/>
    </row>
    <row r="59" spans="1:5">
      <c r="A59">
        <v>29000</v>
      </c>
      <c r="B59" s="31">
        <v>0.60512577056884764</v>
      </c>
      <c r="C59" s="31">
        <v>0.96583322030972574</v>
      </c>
      <c r="D59" s="31">
        <v>9.2153005599975586</v>
      </c>
      <c r="E59" s="31">
        <v>0.49038974120452872</v>
      </c>
    </row>
    <row r="60" spans="1:5">
      <c r="A60">
        <v>29500</v>
      </c>
      <c r="B60" s="31">
        <v>0.60415813446044919</v>
      </c>
      <c r="C60" s="31">
        <v>0.96341027672289081</v>
      </c>
      <c r="D60" s="31"/>
      <c r="E60" s="31"/>
    </row>
    <row r="61" spans="1:5">
      <c r="A61">
        <v>30000</v>
      </c>
      <c r="B61" s="31">
        <v>0.60237808227539058</v>
      </c>
      <c r="C61" s="31">
        <v>0.96149491188268565</v>
      </c>
      <c r="D61" s="31">
        <v>8.4973859786987305</v>
      </c>
      <c r="E61" s="31">
        <v>0.54505026780640509</v>
      </c>
    </row>
    <row r="62" spans="1:5">
      <c r="A62">
        <v>30500</v>
      </c>
      <c r="B62" s="31">
        <v>0.59974449157714849</v>
      </c>
      <c r="C62" s="31">
        <v>0.95911319622542246</v>
      </c>
      <c r="D62" s="31"/>
      <c r="E62" s="31"/>
    </row>
    <row r="63" spans="1:5">
      <c r="A63">
        <v>31000</v>
      </c>
      <c r="B63" s="31">
        <v>0.59478034973144533</v>
      </c>
      <c r="C63" s="31">
        <v>0.95296991362941408</v>
      </c>
      <c r="D63" s="31">
        <v>9.1185073852539062</v>
      </c>
      <c r="E63" s="31">
        <v>0.5368450209878135</v>
      </c>
    </row>
    <row r="64" spans="1:5">
      <c r="A64">
        <v>31500</v>
      </c>
      <c r="B64" s="31">
        <v>0.59419986724853513</v>
      </c>
      <c r="C64" s="31">
        <v>0.95153817423719345</v>
      </c>
      <c r="D64" s="31"/>
      <c r="E64" s="31"/>
    </row>
    <row r="65" spans="1:5">
      <c r="A65">
        <v>32000</v>
      </c>
      <c r="B65" s="31">
        <v>0.59493762969970698</v>
      </c>
      <c r="C65" s="31">
        <v>0.95228014853357001</v>
      </c>
      <c r="D65" s="31">
        <v>8.1168794631958008</v>
      </c>
      <c r="E65" s="31">
        <v>0.46364033889209461</v>
      </c>
    </row>
    <row r="66" spans="1:5">
      <c r="A66">
        <v>32500</v>
      </c>
      <c r="B66" s="31">
        <v>0.59021957397460934</v>
      </c>
      <c r="C66" s="31">
        <v>0.94604310771766287</v>
      </c>
      <c r="D66" s="31"/>
      <c r="E66" s="31"/>
    </row>
    <row r="67" spans="1:5">
      <c r="A67">
        <v>33000</v>
      </c>
      <c r="B67" s="31">
        <v>0.59082115173339844</v>
      </c>
      <c r="C67" s="31">
        <v>0.94854921356118893</v>
      </c>
      <c r="D67" s="31">
        <v>7.5984377861022949</v>
      </c>
      <c r="E67" s="31">
        <v>0.45093343890453041</v>
      </c>
    </row>
    <row r="68" spans="1:5">
      <c r="A68">
        <v>33500</v>
      </c>
      <c r="B68" s="31">
        <v>0.59147621154785157</v>
      </c>
      <c r="C68" s="31">
        <v>0.94958890231472348</v>
      </c>
      <c r="D68" s="31"/>
      <c r="E68" s="31"/>
    </row>
    <row r="69" spans="1:5">
      <c r="A69">
        <v>34000</v>
      </c>
      <c r="B69" s="31">
        <v>0.58791812896728513</v>
      </c>
      <c r="C69" s="31">
        <v>0.9449523656868547</v>
      </c>
      <c r="D69" s="31">
        <v>8.1904783248901367</v>
      </c>
      <c r="E69" s="31">
        <v>0.46934159461031499</v>
      </c>
    </row>
    <row r="70" spans="1:5">
      <c r="A70">
        <v>34500</v>
      </c>
      <c r="B70" s="31">
        <v>0.58766921997070309</v>
      </c>
      <c r="C70" s="31">
        <v>0.94285712634395347</v>
      </c>
      <c r="D70" s="31"/>
      <c r="E70" s="31"/>
    </row>
    <row r="71" spans="1:5">
      <c r="A71">
        <v>35000</v>
      </c>
      <c r="B71" s="31">
        <v>0.59065898895263669</v>
      </c>
      <c r="C71" s="31">
        <v>0.94661593191046889</v>
      </c>
      <c r="D71" s="31">
        <v>9.1424427032470703</v>
      </c>
      <c r="E71" s="31">
        <v>0.51128888886137847</v>
      </c>
    </row>
    <row r="72" spans="1:5">
      <c r="A72">
        <v>35500</v>
      </c>
      <c r="B72" s="31">
        <v>0.586286506652832</v>
      </c>
      <c r="C72" s="31">
        <v>0.93996063952867104</v>
      </c>
      <c r="D72" s="31"/>
      <c r="E72" s="31"/>
    </row>
    <row r="73" spans="1:5">
      <c r="A73">
        <v>36000</v>
      </c>
      <c r="B73" s="31">
        <v>0.58854507446289062</v>
      </c>
      <c r="C73" s="31">
        <v>0.94351118625468533</v>
      </c>
      <c r="D73" s="31">
        <v>10.018776893615721</v>
      </c>
      <c r="E73" s="31">
        <v>0.53126079785801428</v>
      </c>
    </row>
    <row r="74" spans="1:5">
      <c r="A74">
        <v>36500</v>
      </c>
      <c r="B74" s="31">
        <v>0.59033100128173832</v>
      </c>
      <c r="C74" s="31">
        <v>0.94715311513612155</v>
      </c>
      <c r="D74" s="31"/>
      <c r="E74" s="31"/>
    </row>
    <row r="75" spans="1:5">
      <c r="A75">
        <v>37000</v>
      </c>
      <c r="B75" s="31">
        <v>0.58687808990478518</v>
      </c>
      <c r="C75" s="31">
        <v>0.94100540150095346</v>
      </c>
      <c r="D75" s="31">
        <v>9.1928586959838867</v>
      </c>
      <c r="E75" s="31">
        <v>0.52420878924171843</v>
      </c>
    </row>
    <row r="76" spans="1:5">
      <c r="A76">
        <v>37500</v>
      </c>
      <c r="B76" s="31">
        <v>0.58722652435302736</v>
      </c>
      <c r="C76" s="31">
        <v>0.94404669981340827</v>
      </c>
      <c r="D76" s="31"/>
      <c r="E76" s="31"/>
    </row>
    <row r="77" spans="1:5">
      <c r="A77">
        <v>38000</v>
      </c>
      <c r="B77" s="31">
        <v>0.5850784683227539</v>
      </c>
      <c r="C77" s="31">
        <v>0.9380775763217597</v>
      </c>
      <c r="D77" s="31">
        <v>7.9415974617004386</v>
      </c>
      <c r="E77" s="31">
        <v>0.4626886443514785</v>
      </c>
    </row>
    <row r="78" spans="1:5">
      <c r="A78">
        <v>38500</v>
      </c>
      <c r="B78" s="31">
        <v>0.58535621643066404</v>
      </c>
      <c r="C78" s="31">
        <v>0.93903757058838033</v>
      </c>
      <c r="D78" s="31"/>
      <c r="E78" s="31"/>
    </row>
    <row r="79" spans="1:5">
      <c r="A79">
        <v>39000</v>
      </c>
      <c r="B79" s="31">
        <v>0.58309989929199224</v>
      </c>
      <c r="C79" s="31">
        <v>0.93595022799944105</v>
      </c>
      <c r="D79" s="31">
        <v>9.1308450698852539</v>
      </c>
      <c r="E79" s="31">
        <v>0.48597808405424858</v>
      </c>
    </row>
    <row r="80" spans="1:5">
      <c r="A80">
        <v>39500</v>
      </c>
      <c r="B80" s="31">
        <v>0.58219711303710941</v>
      </c>
      <c r="C80" s="31">
        <v>0.93361731799089231</v>
      </c>
      <c r="D80" s="31"/>
      <c r="E80" s="31"/>
    </row>
    <row r="81" spans="1:5">
      <c r="A81">
        <v>40000</v>
      </c>
      <c r="B81" s="31">
        <v>0.58085872650146486</v>
      </c>
      <c r="C81" s="31">
        <v>0.93353081640034197</v>
      </c>
      <c r="D81" s="31">
        <v>8.7844104766845703</v>
      </c>
      <c r="E81" s="31">
        <v>0.47620193781340431</v>
      </c>
    </row>
    <row r="82" spans="1:5">
      <c r="A82">
        <v>40500</v>
      </c>
      <c r="B82" s="31">
        <v>0.58178771972656251</v>
      </c>
      <c r="C82" s="31">
        <v>0.93497051881945814</v>
      </c>
      <c r="D82" s="31"/>
      <c r="E82" s="31"/>
    </row>
    <row r="83" spans="1:5">
      <c r="A83">
        <v>41000</v>
      </c>
      <c r="B83" s="31">
        <v>0.58370498657226566</v>
      </c>
      <c r="C83" s="31">
        <v>0.9356345967317683</v>
      </c>
      <c r="D83" s="31">
        <v>8.8440866470336914</v>
      </c>
      <c r="E83" s="31">
        <v>0.513887746441273</v>
      </c>
    </row>
    <row r="84" spans="1:5">
      <c r="A84">
        <v>41500</v>
      </c>
      <c r="B84" s="31">
        <v>0.58151641845703128</v>
      </c>
      <c r="C84" s="31">
        <v>0.9366733864338791</v>
      </c>
      <c r="D84" s="31"/>
      <c r="E84" s="31"/>
    </row>
    <row r="85" spans="1:5">
      <c r="A85">
        <v>42000</v>
      </c>
      <c r="B85" s="31">
        <v>0.57856048583984376</v>
      </c>
      <c r="C85" s="31">
        <v>0.93081336925429081</v>
      </c>
      <c r="D85" s="31">
        <v>9.1790523529052734</v>
      </c>
      <c r="E85" s="31">
        <v>0.4892932658646173</v>
      </c>
    </row>
    <row r="86" spans="1:5">
      <c r="A86">
        <v>42500</v>
      </c>
      <c r="B86" s="31">
        <v>0.58209438323974605</v>
      </c>
      <c r="C86" s="31">
        <v>0.93544046584221086</v>
      </c>
      <c r="D86" s="31"/>
      <c r="E86" s="31"/>
    </row>
    <row r="87" spans="1:5">
      <c r="A87">
        <v>43000</v>
      </c>
      <c r="B87" s="31">
        <v>0.57981479644775391</v>
      </c>
      <c r="C87" s="31">
        <v>0.93211204903580591</v>
      </c>
      <c r="D87" s="31">
        <v>9.1925821304321289</v>
      </c>
      <c r="E87" s="31">
        <v>0.50574074216445963</v>
      </c>
    </row>
    <row r="88" spans="1:5">
      <c r="A88">
        <v>43500</v>
      </c>
      <c r="B88" s="31">
        <v>0.58040451049804687</v>
      </c>
      <c r="C88" s="31">
        <v>0.93222051316827781</v>
      </c>
      <c r="D88" s="31"/>
      <c r="E88" s="31"/>
    </row>
    <row r="89" spans="1:5">
      <c r="A89">
        <v>44000</v>
      </c>
      <c r="B89" s="31">
        <v>0.57951572418212893</v>
      </c>
      <c r="C89" s="31">
        <v>0.93148778625797335</v>
      </c>
      <c r="D89" s="31">
        <v>7.8609709739685059</v>
      </c>
      <c r="E89" s="31">
        <v>0.4693382458532539</v>
      </c>
    </row>
    <row r="90" spans="1:5">
      <c r="A90">
        <v>44500</v>
      </c>
      <c r="B90" s="31">
        <v>0.57978183746337886</v>
      </c>
      <c r="C90" s="31">
        <v>0.93141399982327222</v>
      </c>
      <c r="D90" s="31"/>
      <c r="E90" s="31"/>
    </row>
    <row r="91" spans="1:5">
      <c r="A91">
        <v>45000</v>
      </c>
      <c r="B91" s="31">
        <v>0.57886703491210934</v>
      </c>
      <c r="C91" s="31">
        <v>0.9300084613582561</v>
      </c>
      <c r="D91" s="31">
        <v>9.7016544342041016</v>
      </c>
      <c r="E91" s="31">
        <v>0.5542832938080392</v>
      </c>
    </row>
    <row r="92" spans="1:5">
      <c r="A92">
        <v>45500</v>
      </c>
      <c r="B92" s="31">
        <v>0.57788333892822263</v>
      </c>
      <c r="C92" s="31">
        <v>0.92833378542776357</v>
      </c>
      <c r="D92" s="31"/>
      <c r="E92" s="31"/>
    </row>
    <row r="93" spans="1:5">
      <c r="A93">
        <v>46000</v>
      </c>
      <c r="B93" s="31">
        <v>0.57639968872070313</v>
      </c>
      <c r="C93" s="31">
        <v>0.92534450366196486</v>
      </c>
      <c r="D93" s="31">
        <v>8.2963676452636719</v>
      </c>
      <c r="E93" s="31">
        <v>0.48300752659405438</v>
      </c>
    </row>
    <row r="94" spans="1:5">
      <c r="A94">
        <v>46500</v>
      </c>
      <c r="B94" s="31">
        <v>0.57723571777343752</v>
      </c>
      <c r="C94" s="31">
        <v>0.92462205162507394</v>
      </c>
      <c r="D94" s="31"/>
      <c r="E94" s="31"/>
    </row>
    <row r="95" spans="1:5">
      <c r="A95">
        <v>47000</v>
      </c>
      <c r="B95" s="31">
        <v>0.57666694641113281</v>
      </c>
      <c r="C95" s="31">
        <v>0.92481939341257313</v>
      </c>
      <c r="D95" s="31">
        <v>9.079686164855957</v>
      </c>
      <c r="E95" s="31">
        <v>0.53332414408133522</v>
      </c>
    </row>
    <row r="96" spans="1:5">
      <c r="A96">
        <v>47500</v>
      </c>
      <c r="B96" s="31">
        <v>0.57448802947998046</v>
      </c>
      <c r="C96" s="31">
        <v>0.92345572505671725</v>
      </c>
      <c r="D96" s="31"/>
      <c r="E96" s="31"/>
    </row>
    <row r="97" spans="1:5">
      <c r="A97">
        <v>48000</v>
      </c>
      <c r="B97" s="31">
        <v>0.57467777252197261</v>
      </c>
      <c r="C97" s="31">
        <v>0.92312782815890704</v>
      </c>
      <c r="D97" s="31">
        <v>10.637650489807131</v>
      </c>
      <c r="E97" s="31">
        <v>0.50981795347045888</v>
      </c>
    </row>
    <row r="98" spans="1:5">
      <c r="A98">
        <v>48500</v>
      </c>
      <c r="B98" s="31">
        <v>0.57510063171386716</v>
      </c>
      <c r="C98" s="31">
        <v>0.92436029922486351</v>
      </c>
      <c r="D98" s="31"/>
      <c r="E98" s="31"/>
    </row>
    <row r="99" spans="1:5">
      <c r="A99">
        <v>49000</v>
      </c>
      <c r="B99" s="31">
        <v>0.57557533264160154</v>
      </c>
      <c r="C99" s="31">
        <v>0.92376628310564213</v>
      </c>
      <c r="D99" s="31">
        <v>9.6886844635009766</v>
      </c>
      <c r="E99" s="31">
        <v>0.51035831108537688</v>
      </c>
    </row>
    <row r="100" spans="1:5">
      <c r="A100">
        <v>49500</v>
      </c>
      <c r="B100" s="31">
        <v>0.57568656921386718</v>
      </c>
      <c r="C100" s="31">
        <v>0.92451365171056088</v>
      </c>
      <c r="D100" s="31"/>
      <c r="E100" s="31"/>
    </row>
    <row r="101" spans="1:5">
      <c r="A101">
        <v>50000</v>
      </c>
      <c r="B101" s="31">
        <v>0.5746515274047852</v>
      </c>
      <c r="C101" s="31">
        <v>0.92303843676020914</v>
      </c>
      <c r="D101" s="31">
        <v>8.0131921768188477</v>
      </c>
      <c r="E101" s="31">
        <v>0.45698305085225682</v>
      </c>
    </row>
  </sheetData>
  <autoFilter ref="A1:E10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outcomes</vt:lpstr>
      <vt:lpstr>Training progresion</vt:lpstr>
      <vt:lpstr>Import provenance</vt:lpstr>
      <vt:lpstr>Long validation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Kuiper, R.J.A. (Ruurd)</dc:creator>
  <cp:lastModifiedBy>Kuiper, R.J.A. (Ruurd)</cp:lastModifiedBy>
  <dcterms:created xsi:type="dcterms:W3CDTF">2026-08-17T14:43:43Z</dcterms:created>
  <dcterms:modified xsi:type="dcterms:W3CDTF">2026-09-24T12:03:43Z</dcterms:modified>
</cp:coreProperties>
</file>