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6980" tabRatio="600" firstSheet="0" activeTab="0" autoFilterDateGrouping="1"/>
  </bookViews>
  <sheets>
    <sheet xmlns:r="http://schemas.openxmlformats.org/officeDocument/2006/relationships" name="Primary outcomes" sheetId="1" state="visible" r:id="rId1"/>
    <sheet xmlns:r="http://schemas.openxmlformats.org/officeDocument/2006/relationships" name="Training progresion" sheetId="2" state="visible" r:id="rId2"/>
    <sheet xmlns:r="http://schemas.openxmlformats.org/officeDocument/2006/relationships" name="Import provenance" sheetId="3" state="visible" r:id="rId3"/>
    <sheet xmlns:r="http://schemas.openxmlformats.org/officeDocument/2006/relationships" name="Long validation loss" sheetId="4" state="visible" r:id="rId4"/>
  </sheets>
  <definedNames>
    <definedName name="_xlnm._FilterDatabase" localSheetId="3" hidden="1">'Long validation loss'!$A$1:$E$101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0.000000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rial"/>
      <family val="2"/>
      <b val="1"/>
      <color rgb="FF1F1F1F"/>
      <sz val="14"/>
    </font>
    <font>
      <name val="Arial"/>
      <family val="2"/>
      <color rgb="FF1F1F1F"/>
      <sz val="14"/>
    </font>
    <font>
      <name val="Arial"/>
      <family val="2"/>
      <color theme="1"/>
      <sz val="14"/>
    </font>
    <font>
      <name val="Arial"/>
      <family val="2"/>
      <b val="1"/>
      <color theme="1"/>
      <sz val="14"/>
    </font>
    <font>
      <name val="Arial"/>
      <family val="2"/>
      <b val="1"/>
      <color rgb="FFFF0000"/>
      <sz val="14"/>
    </font>
    <font>
      <name val="Aptos Narrow"/>
      <b val="1"/>
      <sz val="12"/>
    </font>
    <font>
      <name val="Aptos Narrow"/>
      <family val="2"/>
      <color rgb="FF000000"/>
      <sz val="12"/>
    </font>
    <font>
      <name val="Arial"/>
      <family val="2"/>
      <color rgb="FF0070C0"/>
      <sz val="14"/>
    </font>
    <font>
      <name val="Aptos Narrow"/>
      <family val="2"/>
      <color rgb="FF0070C0"/>
      <sz val="12"/>
      <scheme val="minor"/>
    </font>
    <font>
      <name val="Arial"/>
      <family val="2"/>
      <color theme="7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9" fontId="1" fillId="0" borderId="0"/>
  </cellStyleXfs>
  <cellXfs count="37">
    <xf numFmtId="0" fontId="0" fillId="0" borderId="0" pivotButton="0" quotePrefix="0" xfId="0"/>
    <xf numFmtId="0" fontId="2" fillId="0" borderId="0" pivotButton="0" quotePrefix="0" xfId="0"/>
    <xf numFmtId="10" fontId="3" fillId="0" borderId="0" pivotButton="0" quotePrefix="0" xfId="0"/>
    <xf numFmtId="0" fontId="4" fillId="0" borderId="0" pivotButton="0" quotePrefix="0" xfId="0"/>
    <xf numFmtId="2" fontId="3" fillId="0" borderId="0" pivotButton="0" quotePrefix="0" xfId="0"/>
    <xf numFmtId="2" fontId="4" fillId="0" borderId="0" pivotButton="0" quotePrefix="0" xfId="0"/>
    <xf numFmtId="1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4" fontId="4" fillId="0" borderId="0" pivotButton="0" quotePrefix="0" xfId="1"/>
    <xf numFmtId="164" fontId="4" fillId="0" borderId="0" pivotButton="0" quotePrefix="0" xfId="0"/>
    <xf numFmtId="0" fontId="4" fillId="0" borderId="0" pivotButton="0" quotePrefix="0" xfId="1"/>
    <xf numFmtId="0" fontId="6" fillId="0" borderId="0" pivotButton="0" quotePrefix="0" xfId="0"/>
    <xf numFmtId="2" fontId="4" fillId="0" borderId="0" pivotButton="0" quotePrefix="0" xfId="1"/>
    <xf numFmtId="2" fontId="2" fillId="0" borderId="0" pivotButton="0" quotePrefix="0" xfId="0"/>
    <xf numFmtId="10" fontId="2" fillId="0" borderId="0" pivotButton="0" quotePrefix="0" xfId="0"/>
    <xf numFmtId="10" fontId="4" fillId="0" borderId="0" pivotButton="0" quotePrefix="0" xfId="1"/>
    <xf numFmtId="10" fontId="3" fillId="0" borderId="0" pivotButton="0" quotePrefix="0" xfId="1"/>
    <xf numFmtId="0" fontId="5" fillId="0" borderId="0" applyAlignment="1" pivotButton="0" quotePrefix="0" xfId="0">
      <alignment horizontal="center" vertical="center" textRotation="90"/>
    </xf>
    <xf numFmtId="1" fontId="4" fillId="0" borderId="0" pivotButton="0" quotePrefix="0" xfId="0"/>
    <xf numFmtId="1" fontId="3" fillId="0" borderId="0" pivotButton="0" quotePrefix="0" xfId="0"/>
    <xf numFmtId="165" fontId="4" fillId="0" borderId="0" pivotButton="0" quotePrefix="0" xfId="0"/>
    <xf numFmtId="165" fontId="3" fillId="0" borderId="0" pivotButton="0" quotePrefix="0" xfId="0"/>
    <xf numFmtId="0" fontId="7" fillId="0" borderId="0" pivotButton="0" quotePrefix="0" xfId="0"/>
    <xf numFmtId="165" fontId="4" fillId="0" borderId="0" pivotButton="0" quotePrefix="0" xfId="1"/>
    <xf numFmtId="9" fontId="4" fillId="0" borderId="0" pivotButton="0" quotePrefix="0" xfId="1"/>
    <xf numFmtId="0" fontId="5" fillId="0" borderId="0" applyAlignment="1" pivotButton="0" quotePrefix="0" xfId="0">
      <alignment vertical="center" textRotation="90"/>
    </xf>
    <xf numFmtId="0" fontId="10" fillId="0" borderId="0" pivotButton="0" quotePrefix="0" xfId="0"/>
    <xf numFmtId="164" fontId="9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horizontal="center" vertical="center" textRotation="90"/>
    </xf>
    <xf numFmtId="0" fontId="0" fillId="0" borderId="0" pivotButton="0" quotePrefix="0" xfId="0"/>
    <xf numFmtId="164" fontId="11" fillId="0" borderId="0" pivotButton="0" quotePrefix="0" xfId="0"/>
    <xf numFmtId="0" fontId="12" fillId="2" borderId="0" pivotButton="0" quotePrefix="0" xfId="0"/>
    <xf numFmtId="166" fontId="0" fillId="0" borderId="0" pivotButton="0" quotePrefix="0" xfId="0"/>
  </cellXfs>
  <cellStyles count="2">
    <cellStyle name="Normal" xfId="0" builtinId="0"/>
    <cellStyle name="Per 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 Codex</author>
  </authors>
  <commentList>
    <comment ref="E7" authorId="0" shapeId="0">
      <text>
        <t>Imported from incomplete run 20260921T170118.455805Z--colab-validation: 104/125 correct (0.832).</t>
      </text>
    </comment>
    <comment ref="F7" authorId="0" shapeId="0">
      <text>
        <t>Imported from incomplete run 20260921T170118.455805Z--colab-validation: 105/125 correct (0.840).</t>
      </text>
    </comment>
    <comment ref="G7" authorId="0" shapeId="0">
      <text>
        <t>Imported from incomplete run 20260921T170118.455805Z--colab-validation: 99/125 correct (0.792).</t>
      </text>
    </comment>
    <comment ref="K7" authorId="0" shapeId="0">
      <text>
        <t>Imported from incomplete run 20260921T170118.455805Z--colab-validation: 99/125 correct (0.792).</t>
      </text>
    </comment>
    <comment ref="P7" authorId="0" shapeId="0">
      <text>
        <t>Imported from incomplete run 20260921T170118.455805Z--colab-validation: 108/125 correct (0.864).</t>
      </text>
    </comment>
    <comment ref="E8" authorId="0" shapeId="0">
      <text>
        <t>Imported from incomplete run 20260921T170118.455805Z--colab-validation: 37/125 correct (0.296).</t>
      </text>
    </comment>
    <comment ref="F8" authorId="0" shapeId="0">
      <text>
        <t>Imported from incomplete run 20260921T170118.455805Z--colab-validation: 38/125 correct (0.304).</t>
      </text>
    </comment>
    <comment ref="G8" authorId="0" shapeId="0">
      <text>
        <t>Imported from incomplete run 20260921T170118.455805Z--colab-validation: 34/125 correct (0.272).</t>
      </text>
    </comment>
    <comment ref="K8" authorId="0" shapeId="0">
      <text>
        <t>Imported from incomplete run 20260921T170118.455805Z--colab-validation: 40/125 correct (0.320).</t>
      </text>
    </comment>
    <comment ref="P8" authorId="0" shapeId="0">
      <text>
        <t>Imported from incomplete run 20260921T170118.455805Z--colab-validation: 39/125 correct (0.312).</t>
      </text>
    </comment>
    <comment ref="E9" authorId="0" shapeId="0">
      <text>
        <t>Imported from incomplete run 20260921T170118.455805Z--colab-validation: 82/125 correct (0.656).</t>
      </text>
    </comment>
    <comment ref="F9" authorId="0" shapeId="0">
      <text>
        <t>Imported from incomplete run 20260921T170118.455805Z--colab-validation: 79/125 correct (0.632).</t>
      </text>
    </comment>
    <comment ref="G9" authorId="0" shapeId="0">
      <text>
        <t>Imported from incomplete run 20260921T170118.455805Z--colab-validation: 70/125 correct (0.560).</t>
      </text>
    </comment>
    <comment ref="K9" authorId="0" shapeId="0">
      <text>
        <t>Imported from incomplete run 20260921T170118.455805Z--colab-validation: 108/125 correct (0.864).</t>
      </text>
    </comment>
    <comment ref="P9" authorId="0" shapeId="0">
      <text>
        <t>Imported from incomplete run 20260921T170118.455805Z--colab-validation: 81/125 correct (0.648).</t>
      </text>
    </comment>
    <comment ref="E10" authorId="0" shapeId="0">
      <text>
        <t>Imported from incomplete run 20260921T170118.455805Z--colab-validation: 88/125 correct (0.704).</t>
      </text>
    </comment>
    <comment ref="F10" authorId="0" shapeId="0">
      <text>
        <t>Imported from incomplete run 20260921T170118.455805Z--colab-validation: 87/125 correct (0.696).</t>
      </text>
    </comment>
    <comment ref="G10" authorId="0" shapeId="0">
      <text>
        <t>Imported from incomplete run 20260921T170118.455805Z--colab-validation: 86/125 correct (0.688).</t>
      </text>
    </comment>
    <comment ref="K10" authorId="0" shapeId="0">
      <text>
        <t>Imported from incomplete run 20260921T170118.455805Z--colab-validation: 76/125 correct (0.608).</t>
      </text>
    </comment>
    <comment ref="P10" authorId="0" shapeId="0">
      <text>
        <t>Imported from incomplete run 20260921T170118.455805Z--colab-validation: 87/125 correct (0.696).</t>
      </text>
    </comment>
    <comment ref="E11" authorId="0" shapeId="0">
      <text>
        <t>Imported from incomplete run 20260921T170118.455805Z--colab-validation: 39/125 correct (0.312).</t>
      </text>
    </comment>
    <comment ref="F11" authorId="0" shapeId="0">
      <text>
        <t>Imported from incomplete run 20260921T170118.455805Z--colab-validation: 37/125 correct (0.296).</t>
      </text>
    </comment>
    <comment ref="G11" authorId="0" shapeId="0">
      <text>
        <t>Imported from incomplete run 20260921T170118.455805Z--colab-validation: 42/125 correct (0.336).</t>
      </text>
    </comment>
    <comment ref="K11" authorId="0" shapeId="0">
      <text>
        <t>Imported from incomplete run 20260921T170118.455805Z--colab-validation: 70/125 correct (0.560).</t>
      </text>
    </comment>
    <comment ref="P11" authorId="0" shapeId="0">
      <text>
        <t>Imported from incomplete run 20260921T170118.455805Z--colab-validation: 50/125 correct (0.400).</t>
      </text>
    </comment>
    <comment ref="E12" authorId="0" shapeId="0">
      <text>
        <t>Imported from incomplete run 20260921T170118.455805Z--colab-validation: 32/125 correct (0.256).</t>
      </text>
    </comment>
    <comment ref="F12" authorId="0" shapeId="0">
      <text>
        <t>Imported from incomplete run 20260921T170118.455805Z--colab-validation: 31/125 correct (0.248).</t>
      </text>
    </comment>
    <comment ref="G12" authorId="0" shapeId="0">
      <text>
        <t>Imported from incomplete run 20260921T170118.455805Z--colab-validation: 27/125 correct (0.216).</t>
      </text>
    </comment>
    <comment ref="K12" authorId="0" shapeId="0">
      <text>
        <t>Imported from incomplete run 20260921T170118.455805Z--colab-validation: 60/125 correct (0.480).</t>
      </text>
    </comment>
    <comment ref="P12" authorId="0" shapeId="0">
      <text>
        <t>Imported from incomplete run 20260921T170118.455805Z--colab-validation: 43/125 correct (0.344).</t>
      </text>
    </comment>
    <comment ref="E13" authorId="0" shapeId="0">
      <text>
        <t>Imported from incomplete run 20260921T170118.455805Z--colab-validation: 54/125 correct (0.432).</t>
      </text>
    </comment>
    <comment ref="F13" authorId="0" shapeId="0">
      <text>
        <t>Imported from incomplete run 20260921T170118.455805Z--colab-validation: 52/125 correct (0.416).</t>
      </text>
    </comment>
    <comment ref="G13" authorId="0" shapeId="0">
      <text>
        <t>Imported from incomplete run 20260921T170118.455805Z--colab-validation: 64/125 correct (0.512).</t>
      </text>
    </comment>
    <comment ref="K13" authorId="0" shapeId="0">
      <text>
        <t>Imported from incomplete run 20260921T170118.455805Z--colab-validation: 89/125 correct (0.712).</t>
      </text>
    </comment>
    <comment ref="P13" authorId="0" shapeId="0">
      <text>
        <t>Imported from incomplete run 20260921T170118.455805Z--colab-validation: 53/125 correct (0.424).</t>
      </text>
    </comment>
    <comment ref="C14" authorId="0" shapeId="0">
      <text>
        <t>Imported from incomplete run 20260921T170118.455805Z--colab-validation: 86/125 correct (0.688).</t>
      </text>
    </comment>
    <comment ref="D14" authorId="0" shapeId="0">
      <text>
        <t>Imported from incomplete run 20260921T170118.455805Z--colab-validation: 81/125 correct (0.648).</t>
      </text>
    </comment>
    <comment ref="E14" authorId="0" shapeId="0">
      <text>
        <t>Imported from incomplete run 20260921T170118.455805Z--colab-validation: 74/125 correct (0.592).</t>
      </text>
    </comment>
    <comment ref="F14" authorId="0" shapeId="0">
      <text>
        <t>Imported from incomplete run 20260921T170118.455805Z--colab-validation: 76/125 correct (0.608).</t>
      </text>
    </comment>
    <comment ref="G14" authorId="0" shapeId="0">
      <text>
        <t>Imported from incomplete run 20260921T170118.455805Z--colab-validation: 76/125 correct (0.608).</t>
      </text>
    </comment>
    <comment ref="K14" authorId="0" shapeId="0">
      <text>
        <t>Imported from incomplete run 20260921T170118.455805Z--colab-validation: 67/125 correct (0.536).</t>
      </text>
    </comment>
    <comment ref="P14" authorId="0" shapeId="0">
      <text>
        <t>Imported from incomplete run 20260921T170118.455805Z--colab-validation: 70/125 correct (0.560).</t>
      </text>
    </comment>
    <comment ref="E15" authorId="0" shapeId="0">
      <text>
        <t>Imported from incomplete run 20260921T170118.455805Z--colab-validation: 38/125 correct (0.304).</t>
      </text>
    </comment>
    <comment ref="F15" authorId="0" shapeId="0">
      <text>
        <t>Imported from incomplete run 20260921T170118.455805Z--colab-validation: 38/125 correct (0.304).</t>
      </text>
    </comment>
    <comment ref="G15" authorId="0" shapeId="0">
      <text>
        <t>Imported from incomplete run 20260921T170118.455805Z--colab-validation: 38/125 correct (0.304).</t>
      </text>
    </comment>
    <comment ref="K15" authorId="0" shapeId="0">
      <text>
        <t>Imported from incomplete run 20260921T170118.455805Z--colab-validation: 52/125 correct (0.416).</t>
      </text>
    </comment>
    <comment ref="P15" authorId="0" shapeId="0">
      <text>
        <t>Imported from incomplete run 20260921T170118.455805Z--colab-validation: 53/125 correct (0.424).</t>
      </text>
    </comment>
    <comment ref="C18" authorId="0" shapeId="0">
      <text>
        <t>Imported from run 20260918T112818.173051Z--colab-validation
Model: gemma-2-9b-mask/best
Method: diffusion
128 generated tokens; 32 iterations
Token-weighted perplexity: exp(total NLL / total scored tokens).</t>
      </text>
    </comment>
    <comment ref="D18" authorId="0" shapeId="0">
      <text>
        <t>Imported from run 20260918T112818.173051Z--colab-validation
Model: gemma-2-9b-mask/best
Method: autoregressive
128 generated tokens; AR iterations
Token-weighted perplexity: exp(total NLL / total scored tokens).</t>
      </text>
    </comment>
    <comment ref="E18" authorId="0" shapeId="0">
      <text>
        <t>Imported from run 20260918T112818.173051Z--colab-validation
Model: llama-3.1-8b-mask/best
Method: diffusion
128 generated tokens; 32 iterations
Token-weighted perplexity: exp(total NLL / total scored tokens).</t>
      </text>
    </comment>
    <comment ref="G18" authorId="0" shapeId="0">
      <text>
        <t>Imported from run 20260918T112818.173051Z--colab-validation
Model: llama-3.1-8b-mask-continued/best
Method: diffusion
128 generated tokens; 32 iterations
Token-weighted perplexity: exp(total NLL / total scored tokens).</t>
      </text>
    </comment>
    <comment ref="H18" authorId="0" shapeId="0">
      <text>
        <t>Imported from run 20260918T112818.173051Z--colab-validation
Model: llama-3.1-8b-mask-frontier-answer90-padding10-long-epoch1-lr1e-5/checkpoint-25000
Method: diffusion
128 generated tokens; 32 iterations
Token-weighted perplexity: exp(total NLL / total scored tokens).</t>
      </text>
    </comment>
    <comment ref="I18" authorId="0" shapeId="0">
      <text>
        <t>Imported from run 20260918T112818.173051Z--colab-validation
Model: llama-3.1-8b-mask-frontier-answer90-padding10-long-epoch1-lr1e-5/checkpoint-50000
Method: diffusion
128 generated tokens; 32 iterations
Token-weighted perplexity: exp(total NLL / total scored tokens).</t>
      </text>
    </comment>
    <comment ref="K18" authorId="0" shapeId="0">
      <text>
        <t>Imported from run 20260918T112818.173051Z--colab-validation
Model: llama-3.1-8b-mask/best
Method: autoregressive
128 generated tokens; AR iterations
Token-weighted perplexity: exp(total NLL / total scored tokens).</t>
      </text>
    </comment>
    <comment ref="L18" authorId="0" shapeId="0">
      <text>
        <t>Imported from run 20260918T112818.173051Z--colab-validation
Model: qwen-2.5-7b-mask/best
Method: diffusion
128 generated tokens; 32 iterations
Token-weighted perplexity: exp(total NLL / total scored tokens).</t>
      </text>
    </comment>
    <comment ref="M18" authorId="0" shapeId="0">
      <text>
        <t>Imported from run 20260918T112818.173051Z--colab-validation
Model: qwen-2.5-7b-mask/best
Method: autoregressive
128 generated tokens; AR iterations
Token-weighted perplexity: exp(total NLL / total scored tokens).</t>
      </text>
    </comment>
    <comment ref="N18" authorId="0" shapeId="0">
      <text>
        <t>Imported from run 20260918T112818.173051Z--colab-validation
Model: ministral-8b-mask/best
Method: diffusion
128 generated tokens; 32 iterations
Token-weighted perplexity: exp(total NLL / total scored tokens).</t>
      </text>
    </comment>
    <comment ref="O18" authorId="0" shapeId="0">
      <text>
        <t>Imported from run 20260918T112818.173051Z--colab-validation
Model: ministral-8b-mask/best
Method: autoregressive
128 generated tokens; AR iterations
Token-weighted perplexity: exp(total NLL / total scored tokens).</t>
      </text>
    </comment>
    <comment ref="P18" authorId="0" shapeId="0">
      <text>
        <t>Imported from run 20260918T112818.173051Z--colab-validation
Model: llada:GSAI-ML/LLaDA-8B-Instruct
Method: diffusion
128 generated tokens; 32 iterations
Token-weighted perplexity: exp(total NLL / total scored tokens).</t>
      </text>
    </comment>
    <comment ref="C23" authorId="0" shapeId="0">
      <text>
        <t>Imported from run 20260918T112818.173051Z--colab-validation
Model: gemma-2-9b-mask/best
Method: diffusion
128 generated tokens; 32 iterations
Mean per-answer sliding model-token Distinct-1.</t>
      </text>
    </comment>
    <comment ref="D23" authorId="0" shapeId="0">
      <text>
        <t>Imported from run 20260918T112818.173051Z--colab-validation
Model: gemma-2-9b-mask/best
Method: autoregressive
128 generated tokens; AR iterations
Mean per-answer sliding model-token Distinct-1.</t>
      </text>
    </comment>
    <comment ref="E23" authorId="0" shapeId="0">
      <text>
        <t>Imported from run 20260918T112818.173051Z--colab-validation
Model: llama-3.1-8b-mask/best
Method: diffusion
128 generated tokens; 32 iterations
Mean per-answer sliding model-token Distinct-1.</t>
      </text>
    </comment>
    <comment ref="G23" authorId="0" shapeId="0">
      <text>
        <t>Imported from run 20260918T112818.173051Z--colab-validation
Model: llama-3.1-8b-mask-continued/best
Method: diffusion
128 generated tokens; 32 iterations
Mean per-answer sliding model-token Distinct-1.</t>
      </text>
    </comment>
    <comment ref="H23" authorId="0" shapeId="0">
      <text>
        <t>Imported from run 20260918T112818.173051Z--colab-validation
Model: llama-3.1-8b-mask-frontier-answer90-padding10-long-epoch1-lr1e-5/checkpoint-25000
Method: diffusion
128 generated tokens; 32 iterations
Mean per-answer sliding model-token Distinct-1.</t>
      </text>
    </comment>
    <comment ref="I23" authorId="0" shapeId="0">
      <text>
        <t>Imported from run 20260918T112818.173051Z--colab-validation
Model: llama-3.1-8b-mask-frontier-answer90-padding10-long-epoch1-lr1e-5/checkpoint-50000
Method: diffusion
128 generated tokens; 32 iterations
Mean per-answer sliding model-token Distinct-1.</t>
      </text>
    </comment>
    <comment ref="K23" authorId="0" shapeId="0">
      <text>
        <t>Imported from run 20260918T112818.173051Z--colab-validation
Model: llama-3.1-8b-mask/best
Method: autoregressive
128 generated tokens; AR iterations
Mean per-answer sliding model-token Distinct-1.</t>
      </text>
    </comment>
    <comment ref="L23" authorId="0" shapeId="0">
      <text>
        <t>Imported from run 20260918T112818.173051Z--colab-validation
Model: qwen-2.5-7b-mask/best
Method: diffusion
128 generated tokens; 32 iterations
Mean per-answer sliding model-token Distinct-1.</t>
      </text>
    </comment>
    <comment ref="M23" authorId="0" shapeId="0">
      <text>
        <t>Imported from run 20260918T112818.173051Z--colab-validation
Model: qwen-2.5-7b-mask/best
Method: autoregressive
128 generated tokens; AR iterations
Mean per-answer sliding model-token Distinct-1.</t>
      </text>
    </comment>
    <comment ref="N23" authorId="0" shapeId="0">
      <text>
        <t>Imported from run 20260918T112818.173051Z--colab-validation
Model: ministral-8b-mask/best
Method: diffusion
128 generated tokens; 32 iterations
Mean per-answer sliding model-token Distinct-1.</t>
      </text>
    </comment>
    <comment ref="O23" authorId="0" shapeId="0">
      <text>
        <t>Imported from run 20260918T112818.173051Z--colab-validation
Model: ministral-8b-mask/best
Method: autoregressive
128 generated tokens; AR iterations
Mean per-answer sliding model-token Distinct-1.</t>
      </text>
    </comment>
    <comment ref="P23" authorId="0" shapeId="0">
      <text>
        <t>Imported from run 20260918T112818.173051Z--colab-validation
Model: llada:GSAI-ML/LLaDA-8B-Instruct
Method: diffusion
128 generated tokens; 32 iterations
Mean per-answer sliding model-token Distinct-1.</t>
      </text>
    </comment>
    <comment ref="C28" authorId="0" shapeId="0">
      <text>
        <t>Imported from run 20260918T112818.173051Z--colab-validation
Model: gemma-2-9b-mask/best
Method: diffusion
128 generated tokens; 32 iterations
Mean per-answer sliding model-token Distinct-2.</t>
      </text>
    </comment>
    <comment ref="D28" authorId="0" shapeId="0">
      <text>
        <t>Imported from run 20260918T112818.173051Z--colab-validation
Model: gemma-2-9b-mask/best
Method: autoregressive
128 generated tokens; AR iterations
Mean per-answer sliding model-token Distinct-2.</t>
      </text>
    </comment>
    <comment ref="E28" authorId="0" shapeId="0">
      <text>
        <t>Imported from run 20260918T112818.173051Z--colab-validation
Model: llama-3.1-8b-mask/best
Method: diffusion
128 generated tokens; 32 iterations
Mean per-answer sliding model-token Distinct-2.</t>
      </text>
    </comment>
    <comment ref="G28" authorId="0" shapeId="0">
      <text>
        <t>Imported from run 20260918T112818.173051Z--colab-validation
Model: llama-3.1-8b-mask-continued/best
Method: diffusion
128 generated tokens; 32 iterations
Mean per-answer sliding model-token Distinct-2.</t>
      </text>
    </comment>
    <comment ref="H28" authorId="0" shapeId="0">
      <text>
        <t>Imported from run 20260918T112818.173051Z--colab-validation
Model: llama-3.1-8b-mask-frontier-answer90-padding10-long-epoch1-lr1e-5/checkpoint-25000
Method: diffusion
128 generated tokens; 32 iterations
Mean per-answer sliding model-token Distinct-2.</t>
      </text>
    </comment>
    <comment ref="I28" authorId="0" shapeId="0">
      <text>
        <t>Imported from run 20260918T112818.173051Z--colab-validation
Model: llama-3.1-8b-mask-frontier-answer90-padding10-long-epoch1-lr1e-5/checkpoint-50000
Method: diffusion
128 generated tokens; 32 iterations
Mean per-answer sliding model-token Distinct-2.</t>
      </text>
    </comment>
    <comment ref="K28" authorId="0" shapeId="0">
      <text>
        <t>Imported from run 20260918T112818.173051Z--colab-validation
Model: llama-3.1-8b-mask/best
Method: autoregressive
128 generated tokens; AR iterations
Mean per-answer sliding model-token Distinct-2.</t>
      </text>
    </comment>
    <comment ref="L28" authorId="0" shapeId="0">
      <text>
        <t>Imported from run 20260918T112818.173051Z--colab-validation
Model: qwen-2.5-7b-mask/best
Method: diffusion
128 generated tokens; 32 iterations
Mean per-answer sliding model-token Distinct-2.</t>
      </text>
    </comment>
    <comment ref="M28" authorId="0" shapeId="0">
      <text>
        <t>Imported from run 20260918T112818.173051Z--colab-validation
Model: qwen-2.5-7b-mask/best
Method: autoregressive
128 generated tokens; AR iterations
Mean per-answer sliding model-token Distinct-2.</t>
      </text>
    </comment>
    <comment ref="N28" authorId="0" shapeId="0">
      <text>
        <t>Imported from run 20260918T112818.173051Z--colab-validation
Model: ministral-8b-mask/best
Method: diffusion
128 generated tokens; 32 iterations
Mean per-answer sliding model-token Distinct-2.</t>
      </text>
    </comment>
    <comment ref="O28" authorId="0" shapeId="0">
      <text>
        <t>Imported from run 20260918T112818.173051Z--colab-validation
Model: ministral-8b-mask/best
Method: autoregressive
128 generated tokens; AR iterations
Mean per-answer sliding model-token Distinct-2.</t>
      </text>
    </comment>
    <comment ref="P28" authorId="0" shapeId="0">
      <text>
        <t>Imported from run 20260918T112818.173051Z--colab-validation
Model: llada:GSAI-ML/LLaDA-8B-Instruct
Method: diffusion
128 generated tokens; 32 iterations
Mean per-answer sliding model-token Distinct-2.</t>
      </text>
    </comment>
    <comment ref="C33" authorId="0" shapeId="0">
      <text>
        <t>Imported from run 20260918T112818.173051Z--colab-validation
Model: gemma-2-9b-mask/best
Method: diffusion
128 generated tokens; 32 iterations
Mean per-answer sliding model-token Distinct-3.</t>
      </text>
    </comment>
    <comment ref="D33" authorId="0" shapeId="0">
      <text>
        <t>Imported from run 20260918T112818.173051Z--colab-validation
Model: gemma-2-9b-mask/best
Method: autoregressive
128 generated tokens; AR iterations
Mean per-answer sliding model-token Distinct-3.</t>
      </text>
    </comment>
    <comment ref="E33" authorId="0" shapeId="0">
      <text>
        <t>Imported from run 20260918T112818.173051Z--colab-validation
Model: llama-3.1-8b-mask/best
Method: diffusion
128 generated tokens; 32 iterations
Mean per-answer sliding model-token Distinct-3.</t>
      </text>
    </comment>
    <comment ref="G33" authorId="0" shapeId="0">
      <text>
        <t>Imported from run 20260918T112818.173051Z--colab-validation
Model: llama-3.1-8b-mask-continued/best
Method: diffusion
128 generated tokens; 32 iterations
Mean per-answer sliding model-token Distinct-3.</t>
      </text>
    </comment>
    <comment ref="H33" authorId="0" shapeId="0">
      <text>
        <t>Imported from run 20260918T112818.173051Z--colab-validation
Model: llama-3.1-8b-mask-frontier-answer90-padding10-long-epoch1-lr1e-5/checkpoint-25000
Method: diffusion
128 generated tokens; 32 iterations
Mean per-answer sliding model-token Distinct-3.</t>
      </text>
    </comment>
    <comment ref="I33" authorId="0" shapeId="0">
      <text>
        <t>Imported from run 20260918T112818.173051Z--colab-validation
Model: llama-3.1-8b-mask-frontier-answer90-padding10-long-epoch1-lr1e-5/checkpoint-50000
Method: diffusion
128 generated tokens; 32 iterations
Mean per-answer sliding model-token Distinct-3.</t>
      </text>
    </comment>
    <comment ref="K33" authorId="0" shapeId="0">
      <text>
        <t>Imported from run 20260918T112818.173051Z--colab-validation
Model: llama-3.1-8b-mask/best
Method: autoregressive
128 generated tokens; AR iterations
Mean per-answer sliding model-token Distinct-3.</t>
      </text>
    </comment>
    <comment ref="L33" authorId="0" shapeId="0">
      <text>
        <t>Imported from run 20260918T112818.173051Z--colab-validation
Model: qwen-2.5-7b-mask/best
Method: diffusion
128 generated tokens; 32 iterations
Mean per-answer sliding model-token Distinct-3.</t>
      </text>
    </comment>
    <comment ref="M33" authorId="0" shapeId="0">
      <text>
        <t>Imported from run 20260918T112818.173051Z--colab-validation
Model: qwen-2.5-7b-mask/best
Method: autoregressive
128 generated tokens; AR iterations
Mean per-answer sliding model-token Distinct-3.</t>
      </text>
    </comment>
    <comment ref="N33" authorId="0" shapeId="0">
      <text>
        <t>Imported from run 20260918T112818.173051Z--colab-validation
Model: ministral-8b-mask/best
Method: diffusion
128 generated tokens; 32 iterations
Mean per-answer sliding model-token Distinct-3.</t>
      </text>
    </comment>
    <comment ref="O33" authorId="0" shapeId="0">
      <text>
        <t>Imported from run 20260918T112818.173051Z--colab-validation
Model: ministral-8b-mask/best
Method: autoregressive
128 generated tokens; AR iterations
Mean per-answer sliding model-token Distinct-3.</t>
      </text>
    </comment>
    <comment ref="P33" authorId="0" shapeId="0">
      <text>
        <t>Imported from run 20260918T112818.173051Z--colab-validation
Model: llada:GSAI-ML/LLaDA-8B-Instruct
Method: diffusion
128 generated tokens; 32 iterations
Mean per-answer sliding model-token Distinct-3.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4"/>
  <sheetViews>
    <sheetView tabSelected="1" zoomScale="50" zoomScaleNormal="69" workbookViewId="0">
      <selection activeCell="C15" sqref="C15:D15"/>
    </sheetView>
  </sheetViews>
  <sheetFormatPr baseColWidth="10" defaultRowHeight="18"/>
  <cols>
    <col width="10.83203125" customWidth="1" style="31" min="1" max="1"/>
    <col width="30.83203125" customWidth="1" style="31" min="2" max="2"/>
    <col width="23.83203125" bestFit="1" customWidth="1" style="31" min="3" max="3"/>
    <col width="45.83203125" customWidth="1" style="31" min="4" max="4"/>
    <col width="23.6640625" bestFit="1" customWidth="1" style="31" min="5" max="5"/>
    <col width="34" bestFit="1" customWidth="1" style="31" min="6" max="6"/>
    <col width="34" customWidth="1" style="31" min="7" max="10"/>
    <col width="35.6640625" bestFit="1" customWidth="1" style="31" min="11" max="11"/>
    <col width="23.33203125" bestFit="1" customWidth="1" style="31" min="12" max="12"/>
    <col width="23.33203125" customWidth="1" style="31" min="13" max="15"/>
    <col width="29.33203125" customWidth="1" style="31" min="16" max="16"/>
    <col width="40.33203125" customWidth="1" style="31" min="17" max="17"/>
    <col width="20" bestFit="1" customWidth="1" style="31" min="18" max="18"/>
    <col width="21.5" bestFit="1" customWidth="1" style="31" min="19" max="19"/>
    <col width="10.83203125" customWidth="1" style="31" min="20" max="20"/>
    <col width="13.6640625" customWidth="1" style="31" min="21" max="21"/>
    <col width="10.83203125" customWidth="1" style="31" min="22" max="31"/>
    <col width="10.83203125" customWidth="1" style="31" min="32" max="16384"/>
  </cols>
  <sheetData>
    <row r="1">
      <c r="B1" s="28" t="inlineStr">
        <is>
          <t>Blue text</t>
        </is>
      </c>
      <c r="C1" s="28" t="inlineStr">
        <is>
          <t>updated from the incomplete 125-sample run</t>
        </is>
      </c>
      <c r="E1" s="13" t="n"/>
      <c r="F1" s="13" t="n"/>
      <c r="G1" s="13" t="n"/>
      <c r="H1" s="13" t="n"/>
      <c r="I1" s="13" t="n"/>
      <c r="J1" s="13" t="n"/>
      <c r="L1" s="7" t="n"/>
      <c r="M1" s="7" t="n"/>
      <c r="N1" s="7" t="n"/>
      <c r="O1" s="7" t="n"/>
    </row>
    <row r="2">
      <c r="B2" t="inlineStr">
        <is>
          <t>Black text</t>
        </is>
      </c>
      <c r="C2" t="inlineStr">
        <is>
          <t>preserved from earlier runs (typically 50 samples)</t>
        </is>
      </c>
    </row>
    <row r="3">
      <c r="L3" s="1" t="n"/>
      <c r="M3" s="1" t="n"/>
      <c r="N3" s="1" t="n"/>
      <c r="O3" s="1" t="n"/>
    </row>
    <row r="4">
      <c r="U4" s="1" t="n"/>
    </row>
    <row r="5">
      <c r="B5" s="1" t="inlineStr">
        <is>
          <t>model</t>
        </is>
      </c>
      <c r="C5" s="1" t="inlineStr">
        <is>
          <t>gemma-2-9b-mask</t>
        </is>
      </c>
      <c r="D5" s="1" t="inlineStr">
        <is>
          <t>gemma-2-9b-autoregressive</t>
        </is>
      </c>
      <c r="E5" s="1" t="inlineStr">
        <is>
          <t>llama-3.1-8b-mask</t>
        </is>
      </c>
      <c r="F5" s="1" t="inlineStr">
        <is>
          <t>llama-3.1-8b-mask-merged</t>
        </is>
      </c>
      <c r="G5" s="1" t="inlineStr">
        <is>
          <t>llama-3.1-8b-mask-continued</t>
        </is>
      </c>
      <c r="H5" s="1" t="inlineStr">
        <is>
          <t>llama-3.1-8b-mask-frontier-answer90-padding10-long-epoch1-lr1e-5/checkpoint-25000</t>
        </is>
      </c>
      <c r="I5" s="1" t="inlineStr">
        <is>
          <t>llama-3.1-8b-mask-frontier-answer90-padding10-long-epoch1-lr1e-5/checkpoint-50000</t>
        </is>
      </c>
      <c r="J5" s="1" t="inlineStr">
        <is>
          <t>llama-3.1-8b-mask-iid-alltokens-answerpadding-long-1m</t>
        </is>
      </c>
      <c r="K5" s="1" t="inlineStr">
        <is>
          <t>llama-3.1-8b-autoregressive</t>
        </is>
      </c>
      <c r="L5" s="1" t="inlineStr">
        <is>
          <t>qwen-2.5-7b-mask</t>
        </is>
      </c>
      <c r="M5" s="1" t="inlineStr">
        <is>
          <t>qwen-2.5-7b-autoregressive</t>
        </is>
      </c>
      <c r="N5" s="1" t="inlineStr">
        <is>
          <t>ministral-mask</t>
        </is>
      </c>
      <c r="O5" s="1" t="inlineStr">
        <is>
          <t>ministral-autoregressive</t>
        </is>
      </c>
      <c r="P5" s="1" t="inlineStr">
        <is>
          <t>LLaDA-8B-Instruct (own validation)</t>
        </is>
      </c>
      <c r="Q5" s="7" t="inlineStr">
        <is>
          <t>LLaDA-Instruct (according to paper)</t>
        </is>
      </c>
      <c r="R5" s="7" t="inlineStr">
        <is>
          <t>Dream-Instruct</t>
        </is>
      </c>
      <c r="S5" s="7" t="inlineStr">
        <is>
          <t>iLLaDA-Instruct</t>
        </is>
      </c>
      <c r="T5" s="7" t="inlineStr">
        <is>
          <t>Efficient-DLM 8B</t>
        </is>
      </c>
      <c r="V5" s="1" t="n"/>
    </row>
    <row r="6">
      <c r="B6" s="1" t="inlineStr">
        <is>
          <t>task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>
      <c r="B7" s="1" t="inlineStr">
        <is>
          <t>arc_c</t>
        </is>
      </c>
      <c r="C7" s="34" t="n">
        <v>0.864</v>
      </c>
      <c r="D7" s="34" t="n">
        <v>0.888</v>
      </c>
      <c r="E7" s="29" t="n">
        <v>0.832</v>
      </c>
      <c r="F7" s="29" t="n">
        <v>0.84</v>
      </c>
      <c r="G7" s="29" t="n">
        <v>0.792</v>
      </c>
      <c r="H7" s="9" t="n">
        <v>0.74</v>
      </c>
      <c r="I7" s="9" t="n">
        <v>0.76</v>
      </c>
      <c r="J7" s="9" t="n">
        <v>0.8</v>
      </c>
      <c r="K7" s="29" t="n">
        <v>0.792</v>
      </c>
      <c r="L7" s="9" t="n">
        <v>0.86</v>
      </c>
      <c r="M7" s="9" t="n">
        <v>0.92</v>
      </c>
      <c r="N7" s="9" t="n">
        <v>0.82</v>
      </c>
      <c r="O7" s="9" t="n">
        <v>0.74</v>
      </c>
      <c r="P7" s="29" t="n">
        <v>0.864</v>
      </c>
      <c r="Q7" s="10" t="n">
        <v>0.885</v>
      </c>
      <c r="R7" s="10" t="n"/>
      <c r="S7" s="10" t="n"/>
      <c r="T7" s="10" t="n">
        <v>0.6186</v>
      </c>
      <c r="U7" s="11" t="n"/>
      <c r="V7" s="11">
        <f>P7-Q7</f>
        <v/>
      </c>
      <c r="W7" s="11">
        <f>P7-E7</f>
        <v/>
      </c>
    </row>
    <row r="8">
      <c r="B8" s="1" t="inlineStr">
        <is>
          <t>gpqa</t>
        </is>
      </c>
      <c r="C8" s="34" t="n">
        <v>0.32</v>
      </c>
      <c r="D8" s="34" t="n">
        <v>0.28</v>
      </c>
      <c r="E8" s="29" t="n">
        <v>0.296</v>
      </c>
      <c r="F8" s="29" t="n">
        <v>0.304</v>
      </c>
      <c r="G8" s="29" t="n">
        <v>0.272</v>
      </c>
      <c r="H8" s="9" t="n">
        <v>0.38</v>
      </c>
      <c r="I8" s="9" t="n">
        <v>0.24</v>
      </c>
      <c r="J8" s="9" t="n">
        <v>0.22</v>
      </c>
      <c r="K8" s="29" t="n">
        <v>0.32</v>
      </c>
      <c r="L8" s="9" t="n">
        <v>0.3</v>
      </c>
      <c r="M8" s="9" t="n">
        <v>0.4</v>
      </c>
      <c r="N8" s="9" t="n">
        <v>0.24</v>
      </c>
      <c r="O8" s="9" t="n">
        <v>0.34</v>
      </c>
      <c r="P8" s="29" t="n">
        <v>0.312</v>
      </c>
      <c r="Q8" s="10" t="n">
        <v>0.333</v>
      </c>
      <c r="R8" s="10" t="n">
        <v>0.33</v>
      </c>
      <c r="S8" s="10" t="n"/>
      <c r="T8" s="10" t="n"/>
      <c r="U8" s="11" t="n"/>
      <c r="V8" s="11">
        <f>P8-Q8</f>
        <v/>
      </c>
      <c r="W8" s="11">
        <f>P8-E8</f>
        <v/>
      </c>
    </row>
    <row r="9">
      <c r="B9" s="1" t="inlineStr">
        <is>
          <t>gsm8k</t>
        </is>
      </c>
      <c r="C9" s="34" t="n">
        <v>0.64</v>
      </c>
      <c r="D9" s="34" t="n">
        <v>0.872</v>
      </c>
      <c r="E9" s="29" t="n">
        <v>0.656</v>
      </c>
      <c r="F9" s="29" t="n">
        <v>0.632</v>
      </c>
      <c r="G9" s="29" t="n">
        <v>0.5600000000000001</v>
      </c>
      <c r="H9" s="9" t="n">
        <v>0.7</v>
      </c>
      <c r="I9" s="9" t="n">
        <v>0.64</v>
      </c>
      <c r="J9" s="9" t="n">
        <v>0.64</v>
      </c>
      <c r="K9" s="29" t="n">
        <v>0.864</v>
      </c>
      <c r="L9" s="9" t="n">
        <v>0.5</v>
      </c>
      <c r="M9" s="9" t="n">
        <v>0.9</v>
      </c>
      <c r="N9" s="9" t="n">
        <v>0.6</v>
      </c>
      <c r="O9" s="9" t="n">
        <v>0.86</v>
      </c>
      <c r="P9" s="29" t="n">
        <v>0.648</v>
      </c>
      <c r="Q9" s="10" t="n">
        <v>0.6940000000000001</v>
      </c>
      <c r="R9" s="10" t="n">
        <v>0.8100000000000001</v>
      </c>
      <c r="S9" s="10" t="n">
        <v>0.89</v>
      </c>
      <c r="T9" s="10" t="n">
        <v>0.8832</v>
      </c>
      <c r="U9" s="11" t="n"/>
      <c r="V9" s="11">
        <f>P9-Q9</f>
        <v/>
      </c>
      <c r="W9" s="11">
        <f>P9-E9</f>
        <v/>
      </c>
    </row>
    <row r="10">
      <c r="B10" s="1" t="inlineStr">
        <is>
          <t>hellaswag</t>
        </is>
      </c>
      <c r="C10" s="34" t="n">
        <v>0.752</v>
      </c>
      <c r="D10" s="34" t="n">
        <v>0.696</v>
      </c>
      <c r="E10" s="29" t="n">
        <v>0.704</v>
      </c>
      <c r="F10" s="29" t="n">
        <v>0.696</v>
      </c>
      <c r="G10" s="29" t="n">
        <v>0.6879999999999999</v>
      </c>
      <c r="H10" s="9" t="n">
        <v>0.8</v>
      </c>
      <c r="I10" s="9" t="n">
        <v>0.7</v>
      </c>
      <c r="J10" s="9" t="n">
        <v>0.76</v>
      </c>
      <c r="K10" s="29" t="n">
        <v>0.608</v>
      </c>
      <c r="L10" s="9" t="n">
        <v>0.74</v>
      </c>
      <c r="M10" s="9" t="n">
        <v>0.78</v>
      </c>
      <c r="N10" s="9" t="n">
        <v>0.82</v>
      </c>
      <c r="O10" s="9" t="n">
        <v>0.7</v>
      </c>
      <c r="P10" s="29" t="n">
        <v>0.696</v>
      </c>
      <c r="Q10" s="10" t="n">
        <v>0.746</v>
      </c>
      <c r="R10" s="10" t="n"/>
      <c r="S10" s="10" t="n"/>
      <c r="T10" s="10" t="n">
        <v>0.7253000000000001</v>
      </c>
      <c r="U10" s="11" t="n"/>
      <c r="V10" s="11">
        <f>P10-Q10</f>
        <v/>
      </c>
      <c r="W10" s="11">
        <f>P10-E10</f>
        <v/>
      </c>
    </row>
    <row r="11">
      <c r="B11" s="1" t="inlineStr">
        <is>
          <t>humaneval</t>
        </is>
      </c>
      <c r="C11" s="9" t="n">
        <v>0.38</v>
      </c>
      <c r="D11" s="9" t="n">
        <v>0.74</v>
      </c>
      <c r="E11" s="29" t="n">
        <v>0.312</v>
      </c>
      <c r="F11" s="29" t="n">
        <v>0.296</v>
      </c>
      <c r="G11" s="29" t="n">
        <v>0.336</v>
      </c>
      <c r="H11" s="9" t="n">
        <v>0.44</v>
      </c>
      <c r="I11" s="9" t="n">
        <v>0.44</v>
      </c>
      <c r="J11" s="9" t="n">
        <v>0.36</v>
      </c>
      <c r="K11" s="29" t="n">
        <v>0.5600000000000001</v>
      </c>
      <c r="L11" s="9" t="n">
        <v>0.38</v>
      </c>
      <c r="M11" s="9" t="n">
        <v>0.96</v>
      </c>
      <c r="N11" s="9" t="n">
        <v>0.5</v>
      </c>
      <c r="O11" s="9" t="n">
        <v>0.9399999999999999</v>
      </c>
      <c r="P11" s="29" t="n">
        <v>0.4</v>
      </c>
      <c r="Q11" s="10" t="n">
        <v>0.494</v>
      </c>
      <c r="R11" s="10" t="n">
        <v>0.555</v>
      </c>
      <c r="S11" s="10" t="n">
        <v>0.659</v>
      </c>
      <c r="T11" s="10" t="n">
        <v>0.6829000000000001</v>
      </c>
      <c r="U11" s="11" t="n"/>
      <c r="V11" s="11">
        <f>P11-Q11</f>
        <v/>
      </c>
      <c r="W11" s="11">
        <f>P11-E11</f>
        <v/>
      </c>
    </row>
    <row r="12">
      <c r="B12" s="1" t="inlineStr">
        <is>
          <t>math</t>
        </is>
      </c>
      <c r="C12" s="34" t="n">
        <v>0.296</v>
      </c>
      <c r="D12" s="34" t="n">
        <v>0.6</v>
      </c>
      <c r="E12" s="29" t="n">
        <v>0.256</v>
      </c>
      <c r="F12" s="29" t="n">
        <v>0.248</v>
      </c>
      <c r="G12" s="29" t="n">
        <v>0.216</v>
      </c>
      <c r="H12" s="9" t="n">
        <v>0.34</v>
      </c>
      <c r="I12" s="9" t="n">
        <v>0.16</v>
      </c>
      <c r="J12" s="9" t="n">
        <v>0.2</v>
      </c>
      <c r="K12" s="29" t="n">
        <v>0.48</v>
      </c>
      <c r="L12" s="9" t="n">
        <v>0.28</v>
      </c>
      <c r="M12" s="9" t="n">
        <v>0.78</v>
      </c>
      <c r="N12" s="9" t="n">
        <v>0.24</v>
      </c>
      <c r="O12" s="9" t="n">
        <v>0.52</v>
      </c>
      <c r="P12" s="29" t="n">
        <v>0.344</v>
      </c>
      <c r="Q12" s="10" t="n">
        <v>0.319</v>
      </c>
      <c r="R12" s="10" t="n">
        <v>0.392</v>
      </c>
      <c r="S12" s="10" t="n">
        <v>0.5670000000000001</v>
      </c>
      <c r="T12" s="10" t="n">
        <v>0.5012</v>
      </c>
      <c r="U12" s="11" t="n"/>
      <c r="V12" s="11">
        <f>P12-Q12</f>
        <v/>
      </c>
      <c r="W12" s="11">
        <f>P12-E12</f>
        <v/>
      </c>
    </row>
    <row r="13">
      <c r="B13" s="1" t="inlineStr">
        <is>
          <t>mbpp</t>
        </is>
      </c>
      <c r="C13" s="9" t="n">
        <v>0.46</v>
      </c>
      <c r="D13" s="9" t="n">
        <v>0.74</v>
      </c>
      <c r="E13" s="29" t="n">
        <v>0.432</v>
      </c>
      <c r="F13" s="29" t="n">
        <v>0.416</v>
      </c>
      <c r="G13" s="29" t="n">
        <v>0.512</v>
      </c>
      <c r="H13" s="9" t="n">
        <v>0.4</v>
      </c>
      <c r="I13" s="9" t="n">
        <v>0.38</v>
      </c>
      <c r="J13" s="9" t="n">
        <v>0.44</v>
      </c>
      <c r="K13" s="29" t="n">
        <v>0.712</v>
      </c>
      <c r="L13" s="9" t="n">
        <v>0.5</v>
      </c>
      <c r="M13" s="9" t="n">
        <v>0.82</v>
      </c>
      <c r="N13" s="9" t="n">
        <v>0.52</v>
      </c>
      <c r="O13" s="9" t="n">
        <v>0.72</v>
      </c>
      <c r="P13" s="29" t="n">
        <v>0.424</v>
      </c>
      <c r="Q13" s="10" t="n">
        <v>0.41</v>
      </c>
      <c r="R13" s="10" t="n">
        <v>0.588</v>
      </c>
      <c r="S13" s="10" t="n">
        <v>0.58</v>
      </c>
      <c r="T13" s="10" t="n">
        <v>0.61</v>
      </c>
      <c r="U13" s="11" t="n"/>
      <c r="V13" s="11">
        <f>P13-Q13</f>
        <v/>
      </c>
      <c r="W13" s="11">
        <f>P13-E13</f>
        <v/>
      </c>
      <c r="Z13" s="7" t="n"/>
      <c r="AA13" s="7" t="n"/>
      <c r="AB13" s="7" t="n"/>
      <c r="AC13" s="7" t="n"/>
      <c r="AD13" s="7" t="n"/>
      <c r="AE13" s="7" t="n"/>
    </row>
    <row r="14">
      <c r="B14" s="1" t="inlineStr">
        <is>
          <t>mmlu</t>
        </is>
      </c>
      <c r="C14" s="29" t="n">
        <v>0.6879999999999999</v>
      </c>
      <c r="D14" s="29" t="n">
        <v>0.648</v>
      </c>
      <c r="E14" s="29" t="n">
        <v>0.592</v>
      </c>
      <c r="F14" s="29" t="n">
        <v>0.608</v>
      </c>
      <c r="G14" s="29" t="n">
        <v>0.608</v>
      </c>
      <c r="H14" s="9" t="n">
        <v>0.62</v>
      </c>
      <c r="I14" s="9" t="n">
        <v>0.58</v>
      </c>
      <c r="J14" s="9" t="n">
        <v>0.64</v>
      </c>
      <c r="K14" s="29" t="n">
        <v>0.536</v>
      </c>
      <c r="L14" s="9" t="n">
        <v>0.58</v>
      </c>
      <c r="M14" s="9" t="n">
        <v>0.66</v>
      </c>
      <c r="N14" s="9" t="n">
        <v>0.6</v>
      </c>
      <c r="O14" s="9" t="n">
        <v>0.52</v>
      </c>
      <c r="P14" s="29" t="n">
        <v>0.5600000000000001</v>
      </c>
      <c r="Q14" s="10" t="n">
        <v>0.655</v>
      </c>
      <c r="R14" s="10" t="n">
        <v>0.67</v>
      </c>
      <c r="S14" s="10" t="n">
        <v>0.716</v>
      </c>
      <c r="T14" s="10" t="n">
        <v>0.7722</v>
      </c>
      <c r="U14" s="11" t="n"/>
      <c r="V14" s="11">
        <f>P14-Q14</f>
        <v/>
      </c>
      <c r="W14" s="11">
        <f>P14-E14</f>
        <v/>
      </c>
      <c r="AD14" s="6" t="n"/>
      <c r="AE14" s="6" t="n"/>
      <c r="AF14" s="6" t="n"/>
    </row>
    <row r="15">
      <c r="B15" s="1" t="inlineStr">
        <is>
          <t>mmlu_pro</t>
        </is>
      </c>
      <c r="C15" s="34" t="n">
        <v>0.368</v>
      </c>
      <c r="D15" s="34" t="n">
        <v>0.448</v>
      </c>
      <c r="E15" s="29" t="n">
        <v>0.304</v>
      </c>
      <c r="F15" s="29" t="n">
        <v>0.304</v>
      </c>
      <c r="G15" s="29" t="n">
        <v>0.304</v>
      </c>
      <c r="H15" s="9" t="n">
        <v>0.22</v>
      </c>
      <c r="I15" s="9" t="n">
        <v>0.28</v>
      </c>
      <c r="J15" s="9" t="n">
        <v>0.3</v>
      </c>
      <c r="K15" s="29" t="n">
        <v>0.416</v>
      </c>
      <c r="L15" s="9" t="n">
        <v>0.28</v>
      </c>
      <c r="M15" s="9" t="n">
        <v>0.4</v>
      </c>
      <c r="N15" s="9" t="n">
        <v>0.36</v>
      </c>
      <c r="O15" s="9" t="n">
        <v>0.32</v>
      </c>
      <c r="P15" s="29" t="n">
        <v>0.424</v>
      </c>
      <c r="Q15" s="10" t="n">
        <v>0.37</v>
      </c>
      <c r="R15" s="10" t="n">
        <v>0.433</v>
      </c>
      <c r="S15" s="10" t="n">
        <v>0.523</v>
      </c>
      <c r="T15" s="10" t="n"/>
      <c r="U15" s="11" t="n"/>
      <c r="V15" s="11">
        <f>P15-Q15</f>
        <v/>
      </c>
      <c r="W15" s="11">
        <f>P15-E15</f>
        <v/>
      </c>
      <c r="AD15" s="6" t="n"/>
      <c r="AE15" s="6" t="n"/>
      <c r="AF15" s="6" t="n"/>
    </row>
    <row r="16"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Y16" s="6" t="n"/>
      <c r="Z16" s="6" t="n"/>
      <c r="AA16" s="6" t="n"/>
    </row>
    <row r="17">
      <c r="B17" s="7" t="inlineStr">
        <is>
          <t>Average</t>
        </is>
      </c>
      <c r="C17" s="11">
        <f>AVERAGE(C7:C15)</f>
        <v/>
      </c>
      <c r="D17" s="11">
        <f>AVERAGE(D7:D15)</f>
        <v/>
      </c>
      <c r="E17" s="11">
        <f>AVERAGE(E7:E15)</f>
        <v/>
      </c>
      <c r="F17" s="11">
        <f>AVERAGE(F7:F15)</f>
        <v/>
      </c>
      <c r="G17" s="11">
        <f>AVERAGE(G7:G15)</f>
        <v/>
      </c>
      <c r="H17" s="11">
        <f>AVERAGE(H7:H15)</f>
        <v/>
      </c>
      <c r="I17" s="11">
        <f>AVERAGE(I7:I15)</f>
        <v/>
      </c>
      <c r="J17" s="11">
        <f>AVERAGE(J7:J15)</f>
        <v/>
      </c>
      <c r="K17" s="11">
        <f>AVERAGE(K7:K15)</f>
        <v/>
      </c>
      <c r="L17" s="11">
        <f>AVERAGE(L7:L15)</f>
        <v/>
      </c>
      <c r="M17" s="11">
        <f>AVERAGE(M7:M15)</f>
        <v/>
      </c>
      <c r="N17" s="11">
        <f>AVERAGE(N9:N15,N7)</f>
        <v/>
      </c>
      <c r="O17" s="11">
        <f>AVERAGE(O9:O15,O7)</f>
        <v/>
      </c>
      <c r="P17" s="11">
        <f>AVERAGE(P7:P15)</f>
        <v/>
      </c>
      <c r="Q17" s="11">
        <f>AVERAGE(Q7:Q15)</f>
        <v/>
      </c>
      <c r="R17" s="11">
        <f>AVERAGE(R7,R8,R10:R15)</f>
        <v/>
      </c>
      <c r="S17" s="11">
        <f>AVERAGE(S7,S8,S10:S15)</f>
        <v/>
      </c>
      <c r="T17" s="11">
        <f>AVERAGE(T7,T8,T10:T15)</f>
        <v/>
      </c>
      <c r="U17" s="11" t="n"/>
      <c r="V17" s="11">
        <f>AVERAGE(V7:V15)</f>
        <v/>
      </c>
      <c r="W17" s="11">
        <f>AVERAGE(W7:W15)</f>
        <v/>
      </c>
    </row>
    <row r="18">
      <c r="A18" s="32" t="inlineStr">
        <is>
          <t>Perplexity (using Phi-4 14B)</t>
        </is>
      </c>
      <c r="B18" s="7" t="inlineStr">
        <is>
          <t>(128 tokens, 32 iterations)</t>
        </is>
      </c>
      <c r="C18" s="5" t="n">
        <v>14.56045341491699</v>
      </c>
      <c r="D18" s="4" t="n">
        <v>3.011403560638428</v>
      </c>
      <c r="E18" s="5" t="n">
        <v>19.38142967224121</v>
      </c>
      <c r="F18" s="5" t="n">
        <v>19.28275299072266</v>
      </c>
      <c r="G18" s="4" t="n">
        <v>12.92514324188232</v>
      </c>
      <c r="H18" s="4" t="n">
        <v>11.33413314819336</v>
      </c>
      <c r="I18" s="4" t="n">
        <v>10.13327884674072</v>
      </c>
      <c r="J18" s="4" t="n">
        <v>13.113</v>
      </c>
      <c r="K18" s="5" t="n">
        <v>2.488867998123169</v>
      </c>
      <c r="L18" s="5" t="n">
        <v>20.25466156005859</v>
      </c>
      <c r="M18" s="5" t="n">
        <v>2.23036003112793</v>
      </c>
      <c r="N18" s="5" t="n">
        <v>15.45159721374512</v>
      </c>
      <c r="O18" s="5" t="n">
        <v>2.305343627929688</v>
      </c>
      <c r="P18" s="22" t="n">
        <v>5.334906578063965</v>
      </c>
      <c r="Q18" s="11" t="n"/>
      <c r="R18" s="11" t="n"/>
      <c r="S18" s="11" t="n"/>
      <c r="T18" s="11" t="n"/>
      <c r="U18" s="11" t="n"/>
    </row>
    <row r="19">
      <c r="B19" s="7" t="inlineStr">
        <is>
          <t>(128 tokens, 64 iterations)</t>
        </is>
      </c>
      <c r="C19" s="4" t="n">
        <v>8.273300170898438</v>
      </c>
      <c r="D19" s="4" t="n">
        <v>3.011403560638428</v>
      </c>
      <c r="E19" s="4" t="n">
        <v>10.50314331054688</v>
      </c>
      <c r="F19" s="5" t="n">
        <v>9.780738830566406</v>
      </c>
      <c r="G19" s="4" t="n">
        <v>8.708528518676758</v>
      </c>
      <c r="H19" s="4" t="n">
        <v>8.00369930267334</v>
      </c>
      <c r="I19" s="4" t="n">
        <v>7.248098373413086</v>
      </c>
      <c r="J19" s="4" t="n">
        <v>8.532999999999999</v>
      </c>
      <c r="K19" s="5" t="n">
        <v>2.488867998123169</v>
      </c>
      <c r="L19" s="4" t="n">
        <v>11.11720561981201</v>
      </c>
      <c r="M19" s="5" t="n">
        <v>2.23036003112793</v>
      </c>
      <c r="N19" s="4" t="n">
        <v>9.4239</v>
      </c>
      <c r="O19" s="5" t="n">
        <v>2.305343627929688</v>
      </c>
      <c r="P19" s="23" t="n">
        <v>4.065366268157959</v>
      </c>
      <c r="Q19" s="11" t="n"/>
      <c r="R19" s="11" t="n"/>
      <c r="S19" s="11" t="n"/>
      <c r="T19" s="11" t="n"/>
      <c r="U19" s="11" t="n"/>
    </row>
    <row r="20">
      <c r="B20" s="7" t="inlineStr">
        <is>
          <t>(128 tokens, 128 iterations)</t>
        </is>
      </c>
      <c r="C20" s="14" t="n">
        <v>4.334245204925537</v>
      </c>
      <c r="D20" s="4" t="n">
        <v>3.011403560638428</v>
      </c>
      <c r="E20" s="14" t="n">
        <v>5.081311225891113</v>
      </c>
      <c r="F20" s="4" t="n">
        <v>4.763527393341064</v>
      </c>
      <c r="G20" s="4" t="n">
        <v>4.6374192237854</v>
      </c>
      <c r="H20" s="4" t="n">
        <v>3.851472616195679</v>
      </c>
      <c r="I20" s="4" t="n">
        <v>3.638384103775024</v>
      </c>
      <c r="J20" s="4" t="n">
        <v>4.018</v>
      </c>
      <c r="K20" s="4" t="n">
        <v>2.488867998123169</v>
      </c>
      <c r="L20" s="14" t="n">
        <v>6.211785793304443</v>
      </c>
      <c r="M20" s="4" t="n">
        <v>2.23036003112793</v>
      </c>
      <c r="N20" s="14" t="n">
        <v>5.081889629364014</v>
      </c>
      <c r="O20" s="4" t="n">
        <v>2.305343627929688</v>
      </c>
      <c r="P20" s="25" t="n">
        <v>2.794792175292969</v>
      </c>
      <c r="Q20" s="12" t="n"/>
      <c r="R20" s="12" t="n"/>
      <c r="S20" s="12" t="n"/>
      <c r="T20" s="12" t="n"/>
      <c r="U20" s="11" t="n"/>
    </row>
    <row r="21">
      <c r="C21" s="5" t="n"/>
      <c r="D21" s="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15" t="n"/>
      <c r="Q21" s="1" t="n"/>
    </row>
    <row r="22">
      <c r="B22" s="7" t="inlineStr">
        <is>
          <t>Distinct-1 (model tokens)</t>
        </is>
      </c>
      <c r="C22" s="6" t="n"/>
      <c r="D22" s="6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16" t="n"/>
      <c r="Q22" s="1" t="n"/>
    </row>
    <row r="23">
      <c r="B23" s="7" t="inlineStr">
        <is>
          <t>(128 tokens, 32 iterations)</t>
        </is>
      </c>
      <c r="C23" s="6" t="n">
        <v>0.4460812022098379</v>
      </c>
      <c r="D23" s="6" t="n">
        <v>0.6341145833333334</v>
      </c>
      <c r="E23" s="6" t="n">
        <v>0.4951533890047743</v>
      </c>
      <c r="F23" s="6" t="n">
        <v>0.4975392519756147</v>
      </c>
      <c r="G23" s="6" t="n">
        <v>0.3755833571863373</v>
      </c>
      <c r="H23" s="6" t="n">
        <v>0.3595875142803597</v>
      </c>
      <c r="I23" s="6" t="n">
        <v>0.3607289636739803</v>
      </c>
      <c r="J23" s="6" t="n">
        <v>0.403699819800697</v>
      </c>
      <c r="K23" s="6" t="n">
        <v>0.6096354166666667</v>
      </c>
      <c r="L23" s="6" t="n">
        <v>0.4303569491443898</v>
      </c>
      <c r="M23" s="6" t="n">
        <v>0.6947916666666667</v>
      </c>
      <c r="N23" s="2" t="n">
        <v>0.4447907275890441</v>
      </c>
      <c r="O23" s="2" t="n">
        <v>0.6506356627296588</v>
      </c>
      <c r="P23" s="6" t="n">
        <v>0.4518068870489012</v>
      </c>
      <c r="Q23" s="1" t="n"/>
    </row>
    <row r="24">
      <c r="B24" s="7" t="inlineStr">
        <is>
          <t>(128 tokens, 64 iterations)</t>
        </is>
      </c>
      <c r="C24" s="2" t="n">
        <v>0.4546324321975215</v>
      </c>
      <c r="D24" s="2" t="n">
        <v>0.6341145833333334</v>
      </c>
      <c r="E24" s="2" t="n">
        <v>0.5265721303370029</v>
      </c>
      <c r="F24" s="18" t="n">
        <v>0.5311444349307917</v>
      </c>
      <c r="G24" s="2" t="n">
        <v>0.4381650436065157</v>
      </c>
      <c r="H24" s="2" t="n">
        <v>0.4376058872513248</v>
      </c>
      <c r="I24" s="2" t="n">
        <v>0.4264381483411387</v>
      </c>
      <c r="J24" s="2" t="n">
        <v>0.470915267600018</v>
      </c>
      <c r="K24" s="2" t="n">
        <v>0.6096354166666667</v>
      </c>
      <c r="L24" s="2" t="n">
        <v>0.5087942813240351</v>
      </c>
      <c r="M24" s="2" t="n">
        <v>0.6947916666666667</v>
      </c>
      <c r="N24" s="2" t="n">
        <v>0.492815627490203</v>
      </c>
      <c r="O24" s="2" t="n">
        <v>0.6506356627296588</v>
      </c>
      <c r="P24" s="2" t="n">
        <v>0.5137462150564513</v>
      </c>
      <c r="Q24" s="2" t="n"/>
    </row>
    <row r="25">
      <c r="B25" s="7" t="inlineStr">
        <is>
          <t>(128 tokens, 128 iterations)</t>
        </is>
      </c>
      <c r="C25" s="17" t="n">
        <v>0.5116056723297243</v>
      </c>
      <c r="D25" s="17" t="n">
        <v>0.6341145833333334</v>
      </c>
      <c r="E25" s="18" t="n">
        <v>0.5191720912673317</v>
      </c>
      <c r="F25" s="18" t="n">
        <v>0.5375169204343611</v>
      </c>
      <c r="G25" s="18" t="n">
        <v>0.491308216832439</v>
      </c>
      <c r="H25" s="18" t="n">
        <v>0.487726814516129</v>
      </c>
      <c r="I25" s="18" t="n">
        <v>0.5002355499833354</v>
      </c>
      <c r="J25" s="18" t="n">
        <v>0.529829141007104</v>
      </c>
      <c r="K25" s="18" t="n">
        <v>0.6096354166666667</v>
      </c>
      <c r="L25" s="18" t="n">
        <v>0.5599972191231884</v>
      </c>
      <c r="M25" s="18" t="n">
        <v>0.6947916666666667</v>
      </c>
      <c r="N25" s="2" t="n">
        <v>0.5545360483314484</v>
      </c>
      <c r="O25" s="2" t="n">
        <v>0.6506356627296588</v>
      </c>
      <c r="P25" s="18" t="n">
        <v>0.5339673886917981</v>
      </c>
      <c r="Q25" s="2" t="n"/>
    </row>
    <row r="26"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>
      <c r="B27" s="7" t="inlineStr">
        <is>
          <t>Distinct-2 (model tokens)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</row>
    <row r="28">
      <c r="B28" s="7" t="inlineStr">
        <is>
          <t>(128 tokens, 32 iterations)</t>
        </is>
      </c>
      <c r="C28" s="6" t="n">
        <v>0.7603325085933933</v>
      </c>
      <c r="D28" s="6" t="n">
        <v>0.8934383202099737</v>
      </c>
      <c r="E28" s="2" t="n">
        <v>0.7884458247990315</v>
      </c>
      <c r="F28" s="2" t="n">
        <v>0.8068841402004969</v>
      </c>
      <c r="G28" s="2" t="n">
        <v>0.6927080231533881</v>
      </c>
      <c r="H28" s="2" t="n">
        <v>0.660474341514396</v>
      </c>
      <c r="I28" s="2" t="n">
        <v>0.6502918005527495</v>
      </c>
      <c r="J28" s="2" t="n">
        <v>0.716469062396327</v>
      </c>
      <c r="K28" s="2" t="n">
        <v>0.889501312335958</v>
      </c>
      <c r="L28" s="2" t="n">
        <v>0.7277229106029958</v>
      </c>
      <c r="M28" s="2" t="n">
        <v>0.9401574803149606</v>
      </c>
      <c r="N28" s="2" t="n">
        <v>0.7537872811024957</v>
      </c>
      <c r="O28" s="2" t="n">
        <v>0.9128254801483149</v>
      </c>
      <c r="P28" s="2" t="n">
        <v>0.7458363992037593</v>
      </c>
      <c r="Q28" s="2" t="n"/>
    </row>
    <row r="29">
      <c r="B29" s="7" t="inlineStr">
        <is>
          <t>(128 tokens, 64 iterations)</t>
        </is>
      </c>
      <c r="C29" s="6" t="n">
        <v>0.7521706813710155</v>
      </c>
      <c r="D29" s="6" t="n">
        <v>0.8934383202099737</v>
      </c>
      <c r="E29" s="2" t="n">
        <v>0.8015549642306493</v>
      </c>
      <c r="F29" s="2" t="n">
        <v>0.8035693933892486</v>
      </c>
      <c r="G29" s="2" t="n">
        <v>0.7406463165934507</v>
      </c>
      <c r="H29" s="2" t="n">
        <v>0.7402846722247838</v>
      </c>
      <c r="I29" s="2" t="n">
        <v>0.7231234669522698</v>
      </c>
      <c r="J29" s="2" t="n">
        <v>0.768181904860176</v>
      </c>
      <c r="K29" s="2" t="n">
        <v>0.889501312335958</v>
      </c>
      <c r="L29" s="2" t="n">
        <v>0.8036622372713178</v>
      </c>
      <c r="M29" s="2" t="n">
        <v>0.9401574803149606</v>
      </c>
      <c r="N29" s="2" t="n">
        <v>0.785776238767793</v>
      </c>
      <c r="O29" s="2" t="n">
        <v>0.9128254801483149</v>
      </c>
      <c r="P29" s="2" t="n">
        <v>0.8228125277351084</v>
      </c>
      <c r="Q29" s="2" t="n"/>
    </row>
    <row r="30">
      <c r="B30" s="7" t="inlineStr">
        <is>
          <t>(128 tokens, 128 iterations)</t>
        </is>
      </c>
      <c r="C30" s="6" t="n">
        <v>0.7902596507204065</v>
      </c>
      <c r="D30" s="6" t="n">
        <v>0.8934383202099737</v>
      </c>
      <c r="E30" s="2" t="n">
        <v>0.8002436861127931</v>
      </c>
      <c r="F30" s="2" t="n">
        <v>0.8105479706438928</v>
      </c>
      <c r="G30" s="2" t="n">
        <v>0.787244945319417</v>
      </c>
      <c r="H30" s="2" t="n">
        <v>0.7819815206026076</v>
      </c>
      <c r="I30" s="2" t="n">
        <v>0.7939218764321126</v>
      </c>
      <c r="J30" s="2" t="n">
        <v>0.818341371413061</v>
      </c>
      <c r="K30" s="2" t="n">
        <v>0.889501312335958</v>
      </c>
      <c r="L30" s="2" t="n">
        <v>0.8425860182493866</v>
      </c>
      <c r="M30" s="2" t="n">
        <v>0.9401574803149606</v>
      </c>
      <c r="N30" s="2" t="n">
        <v>0.833652727111033</v>
      </c>
      <c r="O30" s="2" t="n">
        <v>0.9128254801483149</v>
      </c>
      <c r="P30" s="2" t="n">
        <v>0.8494491582491582</v>
      </c>
      <c r="Q30" s="2" t="n"/>
    </row>
    <row r="31">
      <c r="E31" s="2" t="n"/>
      <c r="F31" s="2" t="n"/>
      <c r="G31" s="8" t="n"/>
      <c r="H31" s="8" t="n"/>
      <c r="I31" s="8" t="n"/>
      <c r="J31" s="8" t="n"/>
      <c r="K31" s="2" t="n"/>
      <c r="L31" s="2" t="n"/>
      <c r="M31" s="2" t="n"/>
      <c r="N31" s="2" t="n"/>
      <c r="O31" s="2" t="n"/>
      <c r="P31" s="2" t="n"/>
      <c r="Q31" s="2" t="n"/>
    </row>
    <row r="32">
      <c r="B32" s="7" t="inlineStr">
        <is>
          <t>Distinct-3 (model tokens)</t>
        </is>
      </c>
      <c r="E32" s="8" t="n"/>
      <c r="F32" s="8" t="n"/>
      <c r="G32" s="8" t="n"/>
      <c r="H32" s="8" t="n"/>
      <c r="I32" s="8" t="n"/>
      <c r="J32" s="8" t="n"/>
      <c r="K32" s="2" t="n"/>
      <c r="L32" s="8" t="n"/>
      <c r="N32" s="2" t="n"/>
      <c r="O32" s="2" t="n"/>
      <c r="P32" s="2" t="n"/>
      <c r="Q32" s="2" t="n"/>
    </row>
    <row r="33">
      <c r="B33" s="7" t="inlineStr">
        <is>
          <t>(128 tokens, 32 iterations)</t>
        </is>
      </c>
      <c r="C33" s="6" t="n">
        <v>0.8755576470532694</v>
      </c>
      <c r="D33" s="6" t="n">
        <v>0.9576719576719577</v>
      </c>
      <c r="E33" s="2" t="n">
        <v>0.8988926655133317</v>
      </c>
      <c r="F33" s="2" t="n">
        <v>0.9179936081691912</v>
      </c>
      <c r="G33" s="2" t="n">
        <v>0.8441492648804232</v>
      </c>
      <c r="H33" s="2" t="n">
        <v>0.8041019150364263</v>
      </c>
      <c r="I33" s="2" t="n">
        <v>0.7892236097122933</v>
      </c>
      <c r="J33" s="2" t="n">
        <v>0.856307570947261</v>
      </c>
      <c r="K33" s="2" t="n">
        <v>0.9476190476190476</v>
      </c>
      <c r="L33" s="2" t="n">
        <v>0.861950580314726</v>
      </c>
      <c r="M33" s="6" t="n">
        <v>0.985978835978836</v>
      </c>
      <c r="N33" s="6" t="n">
        <v>0.894626545952893</v>
      </c>
      <c r="O33" s="6" t="n">
        <v>0.9711555555555555</v>
      </c>
      <c r="P33" s="6" t="n">
        <v>0.8447467723417461</v>
      </c>
    </row>
    <row r="34">
      <c r="B34" s="7" t="inlineStr">
        <is>
          <t>(128 tokens, 64 iterations)</t>
        </is>
      </c>
      <c r="C34" s="6" t="n">
        <v>0.8577544695335579</v>
      </c>
      <c r="D34" s="6" t="n">
        <v>0.9576719576719577</v>
      </c>
      <c r="E34" s="2" t="n">
        <v>0.9046894911881981</v>
      </c>
      <c r="F34" s="2" t="n">
        <v>0.9003752303779385</v>
      </c>
      <c r="G34" s="2" t="n">
        <v>0.8741543335607901</v>
      </c>
      <c r="H34" s="2" t="n">
        <v>0.8644307574256523</v>
      </c>
      <c r="I34" s="2" t="n">
        <v>0.8351821381579053</v>
      </c>
      <c r="J34" s="2" t="n">
        <v>0.876055865491174</v>
      </c>
      <c r="K34" s="2" t="n">
        <v>0.9476190476190476</v>
      </c>
      <c r="L34" s="2" t="n">
        <v>0.9035906336777694</v>
      </c>
      <c r="M34" s="2" t="n">
        <v>0.985978835978836</v>
      </c>
      <c r="N34" s="2" t="n">
        <v>0.888396693293717</v>
      </c>
      <c r="O34" s="2" t="n">
        <v>0.9711555555555555</v>
      </c>
      <c r="P34" s="16" t="n">
        <v>0.9160808112597255</v>
      </c>
      <c r="Q34" s="1" t="n"/>
      <c r="R34" s="1" t="n"/>
      <c r="S34" s="1" t="n"/>
    </row>
    <row r="35">
      <c r="B35" s="7" t="inlineStr">
        <is>
          <t>(128 tokens, 128 iterations)</t>
        </is>
      </c>
      <c r="C35" s="6" t="n">
        <v>0.8861040511089949</v>
      </c>
      <c r="D35" s="6" t="n">
        <v>0.9576719576719577</v>
      </c>
      <c r="E35" s="2" t="n">
        <v>0.8917342599831811</v>
      </c>
      <c r="F35" s="2" t="n">
        <v>0.8984276632601488</v>
      </c>
      <c r="G35" s="2" t="n">
        <v>0.887590672363927</v>
      </c>
      <c r="H35" s="2" t="n">
        <v>0.8859094457455113</v>
      </c>
      <c r="I35" s="2" t="n">
        <v>0.8937725891790408</v>
      </c>
      <c r="J35" s="2" t="n">
        <v>0.904854216956505</v>
      </c>
      <c r="K35" s="2" t="n">
        <v>0.9476190476190476</v>
      </c>
      <c r="L35" s="2" t="n">
        <v>0.9210129813688238</v>
      </c>
      <c r="M35" s="2" t="n">
        <v>0.985978835978836</v>
      </c>
      <c r="N35" s="2" t="n">
        <v>0.9227146669863873</v>
      </c>
      <c r="O35" s="2" t="n">
        <v>0.9711555555555555</v>
      </c>
      <c r="P35" s="2" t="n">
        <v>0.9334603282399547</v>
      </c>
      <c r="Q35" s="8" t="n"/>
      <c r="R35" s="8" t="n"/>
      <c r="S35" s="8" t="n"/>
      <c r="T35" s="8" t="n"/>
    </row>
    <row r="36">
      <c r="M36" s="1" t="n"/>
      <c r="N36" s="8" t="n"/>
      <c r="O36" s="8" t="n"/>
      <c r="P36" s="8" t="n"/>
      <c r="Q36" s="8" t="n"/>
      <c r="R36" s="8" t="n"/>
      <c r="S36" s="8" t="n"/>
      <c r="T36" s="8" t="n"/>
    </row>
    <row r="37">
      <c r="M37" s="1" t="n"/>
      <c r="N37" s="8" t="n"/>
      <c r="O37" s="8" t="n"/>
      <c r="P37" s="8" t="n"/>
      <c r="Q37" s="8" t="n"/>
      <c r="R37" s="8" t="n"/>
      <c r="S37" s="8" t="n"/>
      <c r="T37" s="8" t="n"/>
    </row>
    <row r="38">
      <c r="M38" s="1" t="n"/>
      <c r="N38" s="8" t="n"/>
      <c r="O38" s="8" t="n"/>
      <c r="P38" s="8" t="n"/>
      <c r="Q38" s="8" t="n"/>
      <c r="R38" s="8" t="n"/>
      <c r="S38" s="8" t="n"/>
      <c r="T38" s="8" t="n"/>
    </row>
    <row r="39">
      <c r="M39" s="1" t="n"/>
      <c r="N39" s="8" t="n"/>
      <c r="O39" s="8" t="n"/>
      <c r="P39" s="8" t="n"/>
      <c r="Q39" s="8" t="n"/>
      <c r="R39" s="8" t="n"/>
      <c r="S39" s="8" t="n"/>
      <c r="T39" s="8" t="n"/>
    </row>
    <row r="40">
      <c r="M40" s="1" t="n"/>
      <c r="N40" s="8" t="n"/>
      <c r="O40" s="8" t="n"/>
      <c r="P40" s="8" t="n"/>
      <c r="Q40" s="8" t="n"/>
      <c r="R40" s="8" t="n"/>
      <c r="S40" s="8" t="n"/>
      <c r="T40" s="8" t="n"/>
    </row>
    <row r="41">
      <c r="B41" s="1" t="n"/>
      <c r="C41" s="1" t="n"/>
      <c r="M41" s="1" t="n"/>
      <c r="N41" s="8" t="n"/>
      <c r="O41" s="8" t="n"/>
      <c r="P41" s="8" t="n"/>
      <c r="Q41" s="8" t="n"/>
      <c r="R41" s="8" t="n"/>
      <c r="S41" s="8" t="n"/>
      <c r="T41" s="8" t="n"/>
      <c r="U41" s="1" t="n"/>
      <c r="V41" s="1" t="n"/>
      <c r="W41" s="1" t="n"/>
      <c r="X41" s="1" t="n"/>
      <c r="Y41" s="1" t="n"/>
      <c r="Z41" s="1" t="n"/>
      <c r="AA41" s="1" t="n"/>
      <c r="AB41" s="1" t="n"/>
    </row>
    <row r="42" s="33">
      <c r="C42" s="31" t="inlineStr">
        <is>
          <t>Training iterations</t>
        </is>
      </c>
      <c r="D42" s="20" t="n">
        <v>1000</v>
      </c>
      <c r="E42" s="20" t="n">
        <v>5000</v>
      </c>
      <c r="F42" s="20" t="n">
        <v>10000</v>
      </c>
      <c r="G42" s="21" t="n">
        <v>15000</v>
      </c>
      <c r="H42" s="21" t="n">
        <v>20000</v>
      </c>
      <c r="I42" s="21" t="n">
        <v>25000</v>
      </c>
      <c r="J42" s="21" t="n">
        <v>30000</v>
      </c>
      <c r="K42" s="21" t="n">
        <v>35000</v>
      </c>
      <c r="L42" s="21" t="n">
        <v>40000</v>
      </c>
      <c r="M42" s="21" t="n">
        <v>45000</v>
      </c>
      <c r="N42" s="21" t="n">
        <v>50000</v>
      </c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2" t="n"/>
      <c r="AA42" s="2" t="n"/>
      <c r="AB42" s="2" t="n"/>
    </row>
    <row r="43" s="33">
      <c r="C43" s="31" t="inlineStr">
        <is>
          <t>128 tokens generated — Phi-4 token-weighted perplexity</t>
        </is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2" t="n"/>
      <c r="AA43" s="2" t="n"/>
      <c r="AB43" s="2" t="n"/>
    </row>
    <row r="44" s="33">
      <c r="B44" s="32" t="inlineStr">
        <is>
          <t>Phi-4 14B</t>
        </is>
      </c>
      <c r="C44" s="7" t="inlineStr">
        <is>
          <t>BYOD-Llama (32 it.)</t>
        </is>
      </c>
      <c r="D44" s="5" t="n">
        <v>20.10424995422363</v>
      </c>
      <c r="E44" s="5" t="n">
        <v>25.64234352111816</v>
      </c>
      <c r="F44" s="5" t="n">
        <v>20.30332374572754</v>
      </c>
      <c r="G44" s="5" t="n">
        <v>19.73834228515625</v>
      </c>
      <c r="H44" s="5" t="n">
        <v>19.78882598876953</v>
      </c>
      <c r="I44" s="5" t="n">
        <v>17.31105804443359</v>
      </c>
      <c r="J44" s="5" t="n">
        <v>22.93356895446777</v>
      </c>
      <c r="K44" s="5" t="n">
        <v>17.16991996765137</v>
      </c>
      <c r="L44" s="5" t="n">
        <v>16.59307479858398</v>
      </c>
      <c r="M44" s="5" t="n">
        <v>22.20208358764648</v>
      </c>
      <c r="N44" s="5" t="n">
        <v>17.00224113464355</v>
      </c>
      <c r="O44" t="inlineStr">
        <is>
          <t>LLaDA (32 it.)</t>
        </is>
      </c>
      <c r="P44" s="5" t="n">
        <v>5.334906578063965</v>
      </c>
      <c r="Q44" s="8" t="inlineStr">
        <is>
          <t>Llama 3.1 8B AR</t>
        </is>
      </c>
      <c r="R44" s="8" t="n">
        <v>2.638597726821899</v>
      </c>
      <c r="S44" s="8" t="n"/>
      <c r="T44" s="8" t="n"/>
      <c r="U44" s="8" t="n"/>
      <c r="V44" s="8" t="n"/>
      <c r="W44" s="8" t="n"/>
      <c r="X44" s="8" t="n"/>
      <c r="Y44" s="8" t="n"/>
      <c r="Z44" s="2" t="n"/>
      <c r="AA44" s="2" t="n"/>
      <c r="AB44" s="2" t="n"/>
    </row>
    <row r="45" s="33">
      <c r="C45" s="7" t="inlineStr">
        <is>
          <t>BYOD-Llama (64 it.)</t>
        </is>
      </c>
      <c r="D45" s="5" t="n">
        <v>11.69381046295166</v>
      </c>
      <c r="E45" s="5" t="n">
        <v>12.16381454467773</v>
      </c>
      <c r="F45" s="5" t="n">
        <v>11.07769298553467</v>
      </c>
      <c r="G45" s="5" t="n">
        <v>10.21605587005615</v>
      </c>
      <c r="H45" s="5" t="n">
        <v>10.07588672637939</v>
      </c>
      <c r="I45" s="5" t="n">
        <v>9.757587432861328</v>
      </c>
      <c r="J45" s="5" t="n">
        <v>11.00800037384033</v>
      </c>
      <c r="K45" s="5" t="n">
        <v>9.088900566101074</v>
      </c>
      <c r="L45" s="5" t="n">
        <v>9.759171485900879</v>
      </c>
      <c r="M45" s="5" t="n">
        <v>10.43219089508057</v>
      </c>
      <c r="N45" s="5" t="n">
        <v>9.534310340881348</v>
      </c>
      <c r="O45" t="inlineStr">
        <is>
          <t>LLaDA (64 it.)</t>
        </is>
      </c>
      <c r="P45" s="5" t="n">
        <v>4.065366268157959</v>
      </c>
      <c r="Q45" s="8" t="inlineStr">
        <is>
          <t>Llama 3.1 8B AR</t>
        </is>
      </c>
      <c r="R45" s="8" t="n">
        <v>2.638597726821899</v>
      </c>
      <c r="S45" s="8" t="n"/>
      <c r="T45" s="8" t="n"/>
      <c r="U45" s="8" t="n"/>
      <c r="V45" s="8" t="n"/>
      <c r="W45" s="8" t="n"/>
      <c r="X45" s="8" t="n"/>
      <c r="Y45" s="8" t="n"/>
      <c r="Z45" s="2" t="n"/>
      <c r="AA45" s="2" t="n"/>
      <c r="AB45" s="2" t="n"/>
    </row>
    <row r="46" s="33">
      <c r="C46" s="7" t="inlineStr">
        <is>
          <t>BYOD-Llama (128 it.)</t>
        </is>
      </c>
      <c r="D46" s="5" t="n">
        <v>6.043358325958252</v>
      </c>
      <c r="E46" s="5" t="n">
        <v>5.753337860107422</v>
      </c>
      <c r="F46" s="5" t="n">
        <v>5.449683666229248</v>
      </c>
      <c r="G46" s="5" t="n">
        <v>5.394126892089844</v>
      </c>
      <c r="H46" s="5" t="n">
        <v>4.890061378479004</v>
      </c>
      <c r="I46" s="5" t="n">
        <v>5.126490116119385</v>
      </c>
      <c r="J46" s="5" t="n">
        <v>5.103343963623047</v>
      </c>
      <c r="K46" s="5" t="n">
        <v>4.802248001098633</v>
      </c>
      <c r="L46" s="5" t="n">
        <v>5.045702934265137</v>
      </c>
      <c r="M46" s="5" t="n">
        <v>5.248916149139404</v>
      </c>
      <c r="N46" s="5" t="n">
        <v>4.829687595367432</v>
      </c>
      <c r="O46" t="inlineStr">
        <is>
          <t>LLaDA (128 it.)</t>
        </is>
      </c>
      <c r="P46" s="14" t="n">
        <v>2.794792175292969</v>
      </c>
      <c r="Q46" s="8" t="inlineStr">
        <is>
          <t>Llama 3.1 8B AR</t>
        </is>
      </c>
      <c r="R46" s="8" t="n">
        <v>2.638597726821899</v>
      </c>
      <c r="S46" s="8" t="n"/>
      <c r="T46" s="8" t="n"/>
      <c r="U46" s="8" t="n"/>
      <c r="V46" s="8" t="n"/>
      <c r="W46" s="8" t="n"/>
      <c r="X46" s="8" t="n"/>
      <c r="Y46" s="8" t="n"/>
      <c r="Z46" s="2" t="n"/>
      <c r="AA46" s="2" t="n"/>
      <c r="AB46" s="2" t="n"/>
    </row>
    <row r="47">
      <c r="B47" s="1" t="n"/>
      <c r="C47" s="9" t="n"/>
      <c r="M47" s="1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2" t="n"/>
      <c r="AA47" s="2" t="n"/>
      <c r="AB47" s="2" t="n"/>
    </row>
    <row r="48">
      <c r="B48" s="1" t="n"/>
      <c r="C48" s="9" t="n"/>
      <c r="M48" s="1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2" t="n"/>
      <c r="AA48" s="2" t="n"/>
      <c r="AB48" s="2" t="n"/>
    </row>
    <row r="49" s="33">
      <c r="C49" s="31" t="inlineStr">
        <is>
          <t>Training iterations</t>
        </is>
      </c>
      <c r="D49" s="20" t="n">
        <v>1000</v>
      </c>
      <c r="E49" s="20" t="n">
        <v>5000</v>
      </c>
      <c r="F49" s="20" t="n">
        <v>10000</v>
      </c>
      <c r="G49" s="21" t="n">
        <v>15000</v>
      </c>
      <c r="H49" s="21" t="n">
        <v>20000</v>
      </c>
      <c r="I49" s="21" t="n">
        <v>25000</v>
      </c>
      <c r="J49" s="21" t="n">
        <v>30000</v>
      </c>
      <c r="K49" s="21" t="n">
        <v>35000</v>
      </c>
      <c r="L49" s="21" t="n">
        <v>40000</v>
      </c>
      <c r="M49" s="21" t="n">
        <v>45000</v>
      </c>
      <c r="N49" s="21" t="n">
        <v>50000</v>
      </c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2" t="n"/>
      <c r="AA49" s="2" t="n"/>
      <c r="AB49" s="2" t="n"/>
    </row>
    <row r="50" s="33">
      <c r="C50" s="31" t="inlineStr">
        <is>
          <t>128 tokens generated — mean sliding model-token Distinct-1</t>
        </is>
      </c>
      <c r="D50" s="5" t="n">
        <v>1000</v>
      </c>
      <c r="E50" s="5" t="n">
        <v>5000</v>
      </c>
      <c r="F50" s="5" t="n">
        <v>10000</v>
      </c>
      <c r="G50" s="5" t="n">
        <v>15000</v>
      </c>
      <c r="H50" s="5" t="n">
        <v>20000</v>
      </c>
      <c r="I50" s="5" t="n">
        <v>25000</v>
      </c>
      <c r="J50" s="5" t="n">
        <v>30000</v>
      </c>
      <c r="K50" s="5" t="n">
        <v>35000</v>
      </c>
      <c r="L50" s="5" t="n">
        <v>40000</v>
      </c>
      <c r="M50" s="5" t="n">
        <v>45000</v>
      </c>
      <c r="N50" t="n">
        <v>50000</v>
      </c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2" t="n"/>
      <c r="AA50" s="2" t="n"/>
      <c r="AB50" s="2" t="n"/>
    </row>
    <row r="51" s="33">
      <c r="B51" s="32" t="n"/>
      <c r="C51" s="7" t="inlineStr">
        <is>
          <t>BYOD-Llama (32 it.)</t>
        </is>
      </c>
      <c r="D51" s="5" t="n">
        <v>0.434746102302838</v>
      </c>
      <c r="E51" s="5" t="n">
        <v>0.4790646472524484</v>
      </c>
      <c r="F51" s="5" t="n">
        <v>0.4364320797657731</v>
      </c>
      <c r="G51" s="5" t="n">
        <v>0.4396616523783826</v>
      </c>
      <c r="H51" s="5" t="n">
        <v>0.4609629263353701</v>
      </c>
      <c r="I51" s="5" t="n">
        <v>0.417526379813236</v>
      </c>
      <c r="J51" s="5" t="n">
        <v>0.5207913218210439</v>
      </c>
      <c r="K51" s="5" t="n">
        <v>0.4442292582849558</v>
      </c>
      <c r="L51" s="5" t="n">
        <v>0.4429556142795824</v>
      </c>
      <c r="M51" s="5" t="n">
        <v>0.512294828090765</v>
      </c>
      <c r="N51" s="5" t="n">
        <v>0.435041876030047</v>
      </c>
      <c r="O51" t="inlineStr">
        <is>
          <t>LLaDA (32 it.)</t>
        </is>
      </c>
      <c r="P51" s="5" t="n">
        <v>0.4518068870489012</v>
      </c>
      <c r="Q51" s="8" t="inlineStr">
        <is>
          <t>Llama 3.1 8B AR</t>
        </is>
      </c>
      <c r="R51" s="8" t="n">
        <v>0.620703125</v>
      </c>
      <c r="S51" s="8" t="n"/>
      <c r="T51" s="8" t="n"/>
      <c r="U51" s="8" t="n"/>
      <c r="V51" s="8" t="n"/>
      <c r="W51" s="8" t="n"/>
      <c r="X51" s="8" t="n"/>
      <c r="Y51" s="8" t="n"/>
      <c r="Z51" s="2" t="n"/>
      <c r="AA51" s="2" t="n"/>
      <c r="AB51" s="2" t="n"/>
    </row>
    <row r="52" s="33">
      <c r="B52" t="inlineStr">
        <is>
          <t>Distinct 1-grams</t>
        </is>
      </c>
      <c r="C52" s="7" t="inlineStr">
        <is>
          <t>BYOD-Llama (64 it.)</t>
        </is>
      </c>
      <c r="D52" s="5" t="n">
        <v>0.4770001857813828</v>
      </c>
      <c r="E52" s="5" t="n">
        <v>0.5036962743523382</v>
      </c>
      <c r="F52" s="5" t="n">
        <v>0.4949032341102356</v>
      </c>
      <c r="G52" s="5" t="n">
        <v>0.4603871065091548</v>
      </c>
      <c r="H52" s="5" t="n">
        <v>0.4900945150578522</v>
      </c>
      <c r="I52" s="5" t="n">
        <v>0.4761299096660723</v>
      </c>
      <c r="J52" s="5" t="n">
        <v>0.5660157300756498</v>
      </c>
      <c r="K52" s="5" t="n">
        <v>0.4829679223470319</v>
      </c>
      <c r="L52" s="5" t="n">
        <v>0.4940800474890126</v>
      </c>
      <c r="M52" s="5" t="n">
        <v>0.5588273675088411</v>
      </c>
      <c r="N52" s="5" t="n">
        <v>0.4961229208330553</v>
      </c>
      <c r="O52" t="inlineStr">
        <is>
          <t>LLaDA (64 it.)</t>
        </is>
      </c>
      <c r="P52" s="5" t="n">
        <v>0.5137462150564513</v>
      </c>
      <c r="Q52" s="8" t="inlineStr">
        <is>
          <t>Llama 3.1 8B AR</t>
        </is>
      </c>
      <c r="R52" s="8" t="n">
        <v>0.620703125</v>
      </c>
      <c r="S52" s="8" t="n"/>
      <c r="T52" s="8" t="n"/>
      <c r="U52" s="8" t="n"/>
      <c r="V52" s="8" t="n"/>
      <c r="W52" s="8" t="n"/>
      <c r="X52" s="8" t="n"/>
      <c r="Y52" s="8" t="n"/>
      <c r="Z52" s="2" t="n"/>
      <c r="AA52" s="2" t="n"/>
      <c r="AB52" s="2" t="n"/>
    </row>
    <row r="53" s="33">
      <c r="C53" s="7" t="inlineStr">
        <is>
          <t>BYOD-Llama (128 it.)</t>
        </is>
      </c>
      <c r="D53" s="5" t="n">
        <v>0.5054446859283357</v>
      </c>
      <c r="E53" s="5" t="n">
        <v>0.519199366453035</v>
      </c>
      <c r="F53" s="5" t="n">
        <v>0.5178086392366672</v>
      </c>
      <c r="G53" s="5" t="n">
        <v>0.4954837457655661</v>
      </c>
      <c r="H53" s="5" t="n">
        <v>0.511337848264892</v>
      </c>
      <c r="I53" s="5" t="n">
        <v>0.50891858524168</v>
      </c>
      <c r="J53" s="5" t="n">
        <v>0.5717420902235882</v>
      </c>
      <c r="K53" s="5" t="n">
        <v>0.5275748647375792</v>
      </c>
      <c r="L53" s="5" t="n">
        <v>0.5119562703885332</v>
      </c>
      <c r="M53" s="5" t="n">
        <v>0.5843122972986872</v>
      </c>
      <c r="N53" s="5" t="n">
        <v>0.5073863484216871</v>
      </c>
      <c r="O53" t="inlineStr">
        <is>
          <t>LLaDA (128 it.)</t>
        </is>
      </c>
      <c r="P53" s="14" t="n">
        <v>0.5339673886917981</v>
      </c>
      <c r="Q53" s="8" t="inlineStr">
        <is>
          <t>Llama 3.1 8B AR</t>
        </is>
      </c>
      <c r="R53" s="8" t="n">
        <v>0.620703125</v>
      </c>
      <c r="S53" s="8" t="n"/>
      <c r="T53" s="8" t="n"/>
      <c r="U53" s="8" t="n"/>
      <c r="V53" s="8" t="n"/>
      <c r="W53" s="8" t="n"/>
      <c r="X53" s="8" t="n"/>
      <c r="Y53" s="8" t="n"/>
      <c r="Z53" s="2" t="n"/>
      <c r="AA53" s="2" t="n"/>
      <c r="AB53" s="2" t="n"/>
    </row>
    <row r="54">
      <c r="A54" s="27" t="n"/>
      <c r="C54" s="7" t="inlineStr">
        <is>
          <t>LAD-Llama (128 it.)</t>
        </is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P54" s="1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2" t="n"/>
      <c r="AA54" s="2" t="n"/>
      <c r="AB54" s="2" t="n"/>
    </row>
    <row r="55">
      <c r="B55" s="7" t="n"/>
      <c r="C55" s="8" t="n"/>
      <c r="P55" s="1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2" t="n"/>
      <c r="AA55" s="2" t="n"/>
      <c r="AB55" s="2" t="n"/>
    </row>
    <row r="56" s="33">
      <c r="C56" s="31" t="inlineStr">
        <is>
          <t>Training iterations</t>
        </is>
      </c>
      <c r="D56" s="20" t="n">
        <v>1000</v>
      </c>
      <c r="E56" s="20" t="n">
        <v>5000</v>
      </c>
      <c r="F56" s="20" t="n">
        <v>10000</v>
      </c>
      <c r="G56" s="21" t="n">
        <v>15000</v>
      </c>
      <c r="H56" s="21" t="n">
        <v>20000</v>
      </c>
      <c r="I56" s="21" t="n">
        <v>25000</v>
      </c>
      <c r="J56" s="21" t="n">
        <v>30000</v>
      </c>
      <c r="K56" s="21" t="n">
        <v>35000</v>
      </c>
      <c r="L56" s="21" t="n">
        <v>40000</v>
      </c>
      <c r="M56" s="21" t="n">
        <v>45000</v>
      </c>
      <c r="N56" s="21" t="n">
        <v>50000</v>
      </c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2" t="n"/>
      <c r="AA56" s="2" t="n"/>
      <c r="AB56" s="2" t="n"/>
    </row>
    <row r="57" s="33">
      <c r="C57" s="31" t="inlineStr">
        <is>
          <t>128 tokens generated — mean sliding model-token Distinct-2</t>
        </is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2" t="n"/>
      <c r="AA57" s="2" t="n"/>
      <c r="AB57" s="2" t="n"/>
    </row>
    <row r="58" s="33">
      <c r="B58" s="32" t="inlineStr">
        <is>
          <t>Distinct 2-grams</t>
        </is>
      </c>
      <c r="C58" s="7" t="inlineStr">
        <is>
          <t>BYOD-Llama (32 it.)</t>
        </is>
      </c>
      <c r="D58" s="5" t="n">
        <v>0.7465254717246519</v>
      </c>
      <c r="E58" s="5" t="n">
        <v>0.8112197857165926</v>
      </c>
      <c r="F58" s="5" t="n">
        <v>0.7541232515973145</v>
      </c>
      <c r="G58" s="5" t="n">
        <v>0.7475555564315401</v>
      </c>
      <c r="H58" s="5" t="n">
        <v>0.775354750100294</v>
      </c>
      <c r="I58" s="5" t="n">
        <v>0.7197307073257307</v>
      </c>
      <c r="J58" s="5" t="n">
        <v>0.8262551751359607</v>
      </c>
      <c r="K58" s="5" t="n">
        <v>0.7554570041544331</v>
      </c>
      <c r="L58" s="5" t="n">
        <v>0.7478366088477502</v>
      </c>
      <c r="M58" s="5" t="n">
        <v>0.8113632131139439</v>
      </c>
      <c r="N58" s="5" t="n">
        <v>0.7534362806294969</v>
      </c>
      <c r="O58" t="inlineStr">
        <is>
          <t>LLaDA (32 it.)</t>
        </is>
      </c>
      <c r="P58" s="5" t="n">
        <v>0.7458363992037593</v>
      </c>
      <c r="Q58" s="8" t="inlineStr">
        <is>
          <t>Llama 3.1 8B AR</t>
        </is>
      </c>
      <c r="R58" s="8" t="n">
        <v>0.8956692913385826</v>
      </c>
      <c r="S58" s="8" t="n"/>
      <c r="T58" s="8" t="n"/>
      <c r="U58" s="8" t="n"/>
      <c r="V58" s="8" t="n"/>
      <c r="W58" s="8" t="n"/>
      <c r="X58" s="8" t="n"/>
      <c r="Y58" s="8" t="n"/>
      <c r="Z58" s="2" t="n"/>
      <c r="AA58" s="2" t="n"/>
      <c r="AB58" s="2" t="n"/>
    </row>
    <row r="59" s="33">
      <c r="C59" s="7" t="inlineStr">
        <is>
          <t>BYOD-Llama (64 it.)</t>
        </is>
      </c>
      <c r="D59" s="5" t="n">
        <v>0.7653417136140228</v>
      </c>
      <c r="E59" s="5" t="n">
        <v>0.8087142432097123</v>
      </c>
      <c r="F59" s="5" t="n">
        <v>0.7868520256811472</v>
      </c>
      <c r="G59" s="5" t="n">
        <v>0.7448636685412484</v>
      </c>
      <c r="H59" s="5" t="n">
        <v>0.7818280329221895</v>
      </c>
      <c r="I59" s="5" t="n">
        <v>0.7680126304153245</v>
      </c>
      <c r="J59" s="5" t="n">
        <v>0.8465911235602921</v>
      </c>
      <c r="K59" s="5" t="n">
        <v>0.7773631990335352</v>
      </c>
      <c r="L59" s="5" t="n">
        <v>0.7854051040450196</v>
      </c>
      <c r="M59" s="5" t="n">
        <v>0.8381913301726476</v>
      </c>
      <c r="N59" s="5" t="n">
        <v>0.7912437391323626</v>
      </c>
      <c r="O59" t="inlineStr">
        <is>
          <t>LLaDA (64 it.)</t>
        </is>
      </c>
      <c r="P59" s="5" t="n">
        <v>0.8228125277351084</v>
      </c>
      <c r="Q59" s="8" t="inlineStr">
        <is>
          <t>Llama 3.1 8B AR</t>
        </is>
      </c>
      <c r="R59" s="8" t="n">
        <v>0.8956692913385826</v>
      </c>
      <c r="S59" s="8" t="n"/>
      <c r="T59" s="8" t="n"/>
      <c r="U59" s="8" t="n"/>
      <c r="V59" s="8" t="n"/>
      <c r="W59" s="8" t="n"/>
      <c r="X59" s="8" t="n"/>
      <c r="Y59" s="8" t="n"/>
      <c r="Z59" s="2" t="n"/>
      <c r="AA59" s="2" t="n"/>
      <c r="AB59" s="2" t="n"/>
    </row>
    <row r="60" s="33">
      <c r="C60" s="7" t="inlineStr">
        <is>
          <t>BYOD-Llama (128 it.)</t>
        </is>
      </c>
      <c r="D60" s="5" t="n">
        <v>0.7830597621110132</v>
      </c>
      <c r="E60" s="5" t="n">
        <v>0.8064073298678864</v>
      </c>
      <c r="F60" s="5" t="n">
        <v>0.7937104727462332</v>
      </c>
      <c r="G60" s="5" t="n">
        <v>0.7627448026242314</v>
      </c>
      <c r="H60" s="5" t="n">
        <v>0.8009410518420114</v>
      </c>
      <c r="I60" s="5" t="n">
        <v>0.7909752895896033</v>
      </c>
      <c r="J60" s="5" t="n">
        <v>0.8419165604351599</v>
      </c>
      <c r="K60" s="5" t="n">
        <v>0.8160420765709792</v>
      </c>
      <c r="L60" s="5" t="n">
        <v>0.798767023558475</v>
      </c>
      <c r="M60" s="5" t="n">
        <v>0.8552598551268979</v>
      </c>
      <c r="N60" s="5" t="n">
        <v>0.7923201582427839</v>
      </c>
      <c r="O60" t="inlineStr">
        <is>
          <t>LLaDA (128 it.)</t>
        </is>
      </c>
      <c r="P60" s="14" t="n">
        <v>0.8494491582491582</v>
      </c>
      <c r="Q60" s="8" t="inlineStr">
        <is>
          <t>Llama 3.1 8B AR</t>
        </is>
      </c>
      <c r="R60" s="8" t="n">
        <v>0.8956692913385826</v>
      </c>
      <c r="S60" s="8" t="n"/>
      <c r="T60" s="8" t="n"/>
      <c r="U60" s="8" t="n"/>
      <c r="V60" s="8" t="n"/>
      <c r="W60" s="8" t="n"/>
      <c r="X60" s="8" t="n"/>
      <c r="Y60" s="8" t="n"/>
      <c r="Z60" s="2" t="n"/>
      <c r="AA60" s="2" t="n"/>
      <c r="AB60" s="2" t="n"/>
    </row>
    <row r="61">
      <c r="B61" s="7" t="n"/>
      <c r="C61" s="26" t="n"/>
    </row>
    <row r="62">
      <c r="C62" s="31" t="inlineStr">
        <is>
          <t>Training iterations</t>
        </is>
      </c>
      <c r="D62" s="20" t="n">
        <v>1000</v>
      </c>
      <c r="E62" s="20" t="n">
        <v>5000</v>
      </c>
      <c r="F62" s="20" t="n">
        <v>10000</v>
      </c>
      <c r="G62" s="21" t="n">
        <v>15000</v>
      </c>
      <c r="H62" s="21" t="n">
        <v>20000</v>
      </c>
      <c r="I62" s="21" t="n">
        <v>25000</v>
      </c>
      <c r="J62" s="21" t="n">
        <v>30000</v>
      </c>
      <c r="K62" s="21" t="n">
        <v>35000</v>
      </c>
      <c r="L62" s="21" t="n">
        <v>40000</v>
      </c>
      <c r="M62" s="21" t="n">
        <v>45000</v>
      </c>
      <c r="N62" s="21" t="n">
        <v>50000</v>
      </c>
    </row>
    <row r="63" s="33">
      <c r="C63" s="31" t="inlineStr">
        <is>
          <t>Training iterations</t>
        </is>
      </c>
      <c r="D63" s="20" t="n">
        <v>1000</v>
      </c>
      <c r="E63" s="20" t="n">
        <v>5000</v>
      </c>
      <c r="F63" s="20" t="n">
        <v>10000</v>
      </c>
      <c r="G63" s="21" t="n">
        <v>15000</v>
      </c>
      <c r="H63" s="21" t="n">
        <v>20000</v>
      </c>
      <c r="I63" s="21" t="n">
        <v>25000</v>
      </c>
      <c r="J63" s="21" t="n">
        <v>30000</v>
      </c>
      <c r="K63" s="21" t="n">
        <v>35000</v>
      </c>
      <c r="L63" s="21" t="n">
        <v>40000</v>
      </c>
      <c r="M63" s="21" t="n">
        <v>45000</v>
      </c>
      <c r="N63" s="21" t="n">
        <v>50000</v>
      </c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2" t="n"/>
      <c r="AA63" s="2" t="n"/>
      <c r="AB63" s="2" t="n"/>
    </row>
    <row r="64" s="33">
      <c r="B64" t="inlineStr">
        <is>
          <t>Distinct 3-grams</t>
        </is>
      </c>
      <c r="C64" s="31" t="inlineStr">
        <is>
          <t>128 tokens generated — mean sliding model-token Distinct-3</t>
        </is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2" t="n"/>
      <c r="AA64" s="2" t="n"/>
      <c r="AB64" s="2" t="n"/>
    </row>
    <row r="65" s="33">
      <c r="B65" s="32" t="n"/>
      <c r="C65" s="7" t="inlineStr">
        <is>
          <t>BYOD-Llama (32 it.)</t>
        </is>
      </c>
      <c r="D65" s="5" t="n">
        <v>0.8753198735850859</v>
      </c>
      <c r="E65" s="5" t="n">
        <v>0.9270532721013484</v>
      </c>
      <c r="F65" s="5" t="n">
        <v>0.8870699154063673</v>
      </c>
      <c r="G65" s="5" t="n">
        <v>0.8829006774858779</v>
      </c>
      <c r="H65" s="5" t="n">
        <v>0.9014486115784099</v>
      </c>
      <c r="I65" s="5" t="n">
        <v>0.8518325451056051</v>
      </c>
      <c r="J65" s="5" t="n">
        <v>0.9267317414300716</v>
      </c>
      <c r="K65" s="5" t="n">
        <v>0.8862653099083593</v>
      </c>
      <c r="L65" s="5" t="n">
        <v>0.875386421713143</v>
      </c>
      <c r="M65" s="5" t="n">
        <v>0.9199961160415445</v>
      </c>
      <c r="N65" s="5" t="n">
        <v>0.8887521056913963</v>
      </c>
      <c r="O65" t="inlineStr">
        <is>
          <t>LLaDA (32 it.)</t>
        </is>
      </c>
      <c r="P65" s="5" t="n">
        <v>0.8447467723417461</v>
      </c>
      <c r="Q65" s="8" t="inlineStr">
        <is>
          <t>Llama 3.1 8B AR</t>
        </is>
      </c>
      <c r="R65" s="8" t="n">
        <v>0.954047619047619</v>
      </c>
      <c r="S65" s="8" t="n"/>
      <c r="T65" s="8" t="n"/>
      <c r="U65" s="8" t="n"/>
      <c r="V65" s="8" t="n"/>
      <c r="W65" s="8" t="n"/>
      <c r="X65" s="8" t="n"/>
      <c r="Y65" s="8" t="n"/>
      <c r="Z65" s="2" t="n"/>
      <c r="AA65" s="2" t="n"/>
      <c r="AB65" s="2" t="n"/>
    </row>
    <row r="66" s="33">
      <c r="C66" s="7" t="inlineStr">
        <is>
          <t>BYOD-Llama (64 it.)</t>
        </is>
      </c>
      <c r="D66" s="5" t="n">
        <v>0.8638053978946415</v>
      </c>
      <c r="E66" s="5" t="n">
        <v>0.9064424200671979</v>
      </c>
      <c r="F66" s="5" t="n">
        <v>0.8838037665060672</v>
      </c>
      <c r="G66" s="5" t="n">
        <v>0.8523986307869598</v>
      </c>
      <c r="H66" s="5" t="n">
        <v>0.8801325382828397</v>
      </c>
      <c r="I66" s="5" t="n">
        <v>0.8735682715414933</v>
      </c>
      <c r="J66" s="5" t="n">
        <v>0.9242393333892163</v>
      </c>
      <c r="K66" s="5" t="n">
        <v>0.8778186678489756</v>
      </c>
      <c r="L66" s="5" t="n">
        <v>0.8864254779840042</v>
      </c>
      <c r="M66" s="5" t="n">
        <v>0.9232639157226578</v>
      </c>
      <c r="N66" s="5" t="n">
        <v>0.8918719251653024</v>
      </c>
      <c r="O66" t="inlineStr">
        <is>
          <t>LLaDA (64 it.)</t>
        </is>
      </c>
      <c r="P66" s="5" t="n">
        <v>0.9160808112597255</v>
      </c>
      <c r="Q66" s="8" t="inlineStr">
        <is>
          <t>Llama 3.1 8B AR</t>
        </is>
      </c>
      <c r="R66" s="8" t="n">
        <v>0.954047619047619</v>
      </c>
      <c r="S66" s="8" t="n"/>
      <c r="T66" s="8" t="n"/>
      <c r="U66" s="8" t="n"/>
      <c r="V66" s="8" t="n"/>
      <c r="W66" s="8" t="n"/>
      <c r="X66" s="8" t="n"/>
      <c r="Y66" s="8" t="n"/>
      <c r="Z66" s="2" t="n"/>
      <c r="AA66" s="2" t="n"/>
      <c r="AB66" s="2" t="n"/>
    </row>
    <row r="67" s="33">
      <c r="C67" s="7" t="inlineStr">
        <is>
          <t>BYOD-Llama (128 it.)</t>
        </is>
      </c>
      <c r="D67" s="5" t="n">
        <v>0.8727189519854217</v>
      </c>
      <c r="E67" s="5" t="n">
        <v>0.8991272440231518</v>
      </c>
      <c r="F67" s="5" t="n">
        <v>0.8846654157733219</v>
      </c>
      <c r="G67" s="5" t="n">
        <v>0.8559358721535252</v>
      </c>
      <c r="H67" s="5" t="n">
        <v>0.8956816655050087</v>
      </c>
      <c r="I67" s="5" t="n">
        <v>0.8853025773993753</v>
      </c>
      <c r="J67" s="5" t="n">
        <v>0.9242696608846586</v>
      </c>
      <c r="K67" s="5" t="n">
        <v>0.9041828997570535</v>
      </c>
      <c r="L67" s="5" t="n">
        <v>0.8914650348851834</v>
      </c>
      <c r="M67" s="5" t="n">
        <v>0.9318457286887116</v>
      </c>
      <c r="N67" s="5" t="n">
        <v>0.8864252529499462</v>
      </c>
      <c r="O67" t="inlineStr">
        <is>
          <t>LLaDA (128 it.)</t>
        </is>
      </c>
      <c r="P67" s="14" t="n">
        <v>0.9334603282399547</v>
      </c>
      <c r="Q67" s="8" t="inlineStr">
        <is>
          <t>Llama 3.1 8B AR</t>
        </is>
      </c>
      <c r="R67" s="8" t="n">
        <v>0.954047619047619</v>
      </c>
      <c r="S67" s="8" t="n"/>
      <c r="T67" s="8" t="n"/>
      <c r="U67" s="8" t="n"/>
      <c r="V67" s="8" t="n"/>
      <c r="W67" s="8" t="n"/>
      <c r="X67" s="8" t="n"/>
      <c r="Y67" s="8" t="n"/>
      <c r="Z67" s="2" t="n"/>
      <c r="AA67" s="2" t="n"/>
      <c r="AB67" s="2" t="n"/>
    </row>
    <row r="68">
      <c r="B68" s="7" t="n"/>
      <c r="C68" s="26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</row>
    <row r="69">
      <c r="B69" s="7" t="n"/>
      <c r="C69" s="26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>
      <c r="B70" s="7" t="n"/>
      <c r="C70" s="26" t="n"/>
    </row>
    <row r="71">
      <c r="B71" s="7" t="n"/>
      <c r="C71" s="30" t="n"/>
    </row>
    <row r="72">
      <c r="A72" s="32" t="n"/>
      <c r="B72" s="7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8" t="n"/>
      <c r="N72" s="8" t="n"/>
      <c r="O72" s="8" t="n"/>
      <c r="P72" s="8" t="n"/>
      <c r="Q72" s="8" t="n"/>
      <c r="R72" s="8" t="n"/>
      <c r="S72" s="2" t="n"/>
      <c r="T72" s="2" t="n"/>
      <c r="U72" s="2" t="n"/>
    </row>
    <row r="73">
      <c r="B73" s="7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8" t="n"/>
      <c r="N73" s="8" t="n"/>
      <c r="O73" s="8" t="n"/>
      <c r="P73" s="8" t="n"/>
      <c r="Q73" s="8" t="n"/>
      <c r="R73" s="8" t="n"/>
      <c r="S73" s="2" t="n"/>
      <c r="T73" s="2" t="n"/>
      <c r="U73" s="2" t="n"/>
    </row>
    <row r="74">
      <c r="B74" s="7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8" t="n"/>
      <c r="N74" s="8" t="n"/>
      <c r="O74" s="8" t="n"/>
      <c r="P74" s="8" t="n"/>
      <c r="Q74" s="8" t="n"/>
      <c r="R74" s="8" t="n"/>
      <c r="S74" s="2" t="n"/>
      <c r="T74" s="2" t="n"/>
      <c r="U74" s="2" t="n"/>
    </row>
    <row r="75">
      <c r="A75" s="32" t="n"/>
      <c r="B75" s="7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</row>
    <row r="76">
      <c r="A76" s="32" t="n"/>
      <c r="B76" s="7" t="n"/>
      <c r="L76" s="1" t="n"/>
      <c r="M76" s="8" t="n"/>
      <c r="N76" s="8" t="n"/>
      <c r="O76" s="8" t="n"/>
      <c r="P76" s="8" t="n"/>
      <c r="Q76" s="8" t="n"/>
      <c r="R76" s="8" t="n"/>
      <c r="S76" s="2" t="n"/>
      <c r="T76" s="2" t="n"/>
      <c r="U76" s="2" t="n"/>
    </row>
    <row r="77">
      <c r="B77" s="7" t="n"/>
      <c r="C77" s="8" t="n"/>
      <c r="E77" s="8" t="n"/>
      <c r="L77" s="1" t="n"/>
      <c r="M77" s="8" t="n"/>
      <c r="N77" s="8" t="n"/>
      <c r="O77" s="8" t="n"/>
      <c r="P77" s="8" t="n"/>
      <c r="Q77" s="8" t="n"/>
      <c r="R77" s="8" t="n"/>
      <c r="S77" s="2" t="n"/>
      <c r="T77" s="2" t="n"/>
      <c r="U77" s="2" t="n"/>
    </row>
    <row r="78">
      <c r="B78" s="7" t="n"/>
      <c r="L78" s="1" t="n"/>
      <c r="M78" s="8" t="n"/>
      <c r="N78" s="8" t="n"/>
      <c r="O78" s="8" t="n"/>
      <c r="P78" s="8" t="n"/>
      <c r="Q78" s="8" t="n"/>
      <c r="R78" s="8" t="n"/>
      <c r="S78" s="2" t="n"/>
      <c r="T78" s="2" t="n"/>
      <c r="U78" s="2" t="n"/>
    </row>
    <row r="79">
      <c r="A79" s="32" t="n"/>
      <c r="B79" s="7" t="n"/>
      <c r="L79" s="1" t="n"/>
      <c r="M79" s="8" t="n"/>
      <c r="N79" s="8" t="n"/>
      <c r="O79" s="8" t="n"/>
      <c r="P79" s="8" t="n"/>
      <c r="Q79" s="8" t="n"/>
      <c r="R79" s="8" t="n"/>
      <c r="S79" s="2" t="n"/>
      <c r="T79" s="2" t="n"/>
      <c r="U79" s="2" t="n"/>
    </row>
    <row r="80">
      <c r="C80" s="20" t="n"/>
      <c r="E80" s="20" t="n"/>
      <c r="G80" s="20" t="n"/>
      <c r="H80" s="20" t="n"/>
      <c r="I80" s="20" t="n"/>
      <c r="J80" s="20" t="n"/>
      <c r="L80" s="20" t="n"/>
      <c r="N80" s="20" t="n"/>
    </row>
    <row r="81">
      <c r="A81" s="32" t="n"/>
      <c r="B81" s="7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</row>
    <row r="82">
      <c r="B82" s="7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>
      <c r="B83" s="7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8" t="n"/>
    </row>
    <row r="84"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>
      <c r="A85" s="32" t="n"/>
      <c r="B85" s="7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</row>
    <row r="86">
      <c r="B86" s="7" t="n"/>
      <c r="C86" s="5" t="n"/>
      <c r="D86" s="5" t="n"/>
      <c r="E86" s="5" t="n"/>
      <c r="F86" s="5" t="n"/>
      <c r="G86" s="5" t="n"/>
      <c r="H86" s="5" t="n"/>
      <c r="I86" s="5" t="n"/>
      <c r="J86" s="5" t="n"/>
      <c r="K86" s="4" t="n"/>
    </row>
    <row r="87">
      <c r="B87" s="7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>
      <c r="A89" s="32" t="n"/>
      <c r="B89" s="7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</row>
    <row r="90">
      <c r="B90" s="7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1" t="n"/>
      <c r="M90" s="8" t="n"/>
      <c r="N90" s="8" t="n"/>
      <c r="O90" s="8" t="n"/>
      <c r="P90" s="8" t="n"/>
      <c r="Q90" s="8" t="n"/>
      <c r="R90" s="8" t="n"/>
      <c r="S90" s="2" t="n"/>
      <c r="T90" s="2" t="n"/>
      <c r="U90" s="2" t="n"/>
    </row>
    <row r="91">
      <c r="B91" s="7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1" t="n"/>
      <c r="M91" s="8" t="n"/>
      <c r="N91" s="8" t="n"/>
      <c r="O91" s="8" t="n"/>
      <c r="P91" s="8" t="n"/>
      <c r="Q91" s="8" t="n"/>
      <c r="R91" s="8" t="n"/>
      <c r="S91" s="2" t="n"/>
      <c r="T91" s="2" t="n"/>
      <c r="U91" s="2" t="n"/>
    </row>
    <row r="92">
      <c r="L92" s="1" t="n"/>
      <c r="M92" s="8" t="n"/>
      <c r="N92" s="8" t="n"/>
      <c r="O92" s="8" t="n"/>
      <c r="P92" s="8" t="n"/>
      <c r="Q92" s="8" t="n"/>
      <c r="R92" s="8" t="n"/>
      <c r="S92" s="2" t="n"/>
      <c r="T92" s="2" t="n"/>
      <c r="U92" s="2" t="n"/>
    </row>
    <row r="93">
      <c r="L93" s="1" t="n"/>
      <c r="M93" s="8" t="n"/>
      <c r="N93" s="8" t="n"/>
      <c r="O93" s="8" t="n"/>
      <c r="P93" s="8" t="n"/>
      <c r="Q93" s="8" t="n"/>
      <c r="R93" s="8" t="n"/>
      <c r="S93" s="2" t="n"/>
      <c r="T93" s="2" t="n"/>
      <c r="U93" s="2" t="n"/>
    </row>
    <row r="94">
      <c r="L94" s="1" t="n"/>
      <c r="M94" s="8" t="n"/>
      <c r="N94" s="8" t="n"/>
      <c r="O94" s="8" t="n"/>
      <c r="P94" s="8" t="n"/>
      <c r="Q94" s="8" t="n"/>
      <c r="R94" s="8" t="n"/>
      <c r="S94" s="2" t="n"/>
      <c r="T94" s="2" t="n"/>
      <c r="U94" s="2" t="n"/>
    </row>
  </sheetData>
  <mergeCells count="11">
    <mergeCell ref="B58:B60"/>
    <mergeCell ref="C71:L71"/>
    <mergeCell ref="B64:B66"/>
    <mergeCell ref="B52:B54"/>
    <mergeCell ref="A76:A78"/>
    <mergeCell ref="B44:B46"/>
    <mergeCell ref="A72:A74"/>
    <mergeCell ref="A85:A87"/>
    <mergeCell ref="A81:A83"/>
    <mergeCell ref="A89:A91"/>
    <mergeCell ref="A18:A20"/>
  </mergeCells>
  <conditionalFormatting sqref="C19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7:C49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7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8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9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F7 K7:P7">
    <cfRule type="colorScale" priority="3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:F8 K8:P8">
    <cfRule type="colorScale" priority="3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:F8 K8:Q8">
    <cfRule type="colorScale" priority="3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F9 K9:P9">
    <cfRule type="colorScale" priority="3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F9 K9:Q9">
    <cfRule type="colorScale" priority="3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:F10 K10:P10">
    <cfRule type="colorScale" priority="3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:F10 K10:Q10">
    <cfRule type="colorScale" priority="3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:F11 K11:P11">
    <cfRule type="colorScale" priority="3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:F11 K11:Q11">
    <cfRule type="colorScale" priority="4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:F12 K12:P12">
    <cfRule type="colorScale" priority="4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:F12 K12:Q12">
    <cfRule type="colorScale" priority="4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:F13 K13:P13">
    <cfRule type="colorScale" priority="4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:F13 K13:Q13">
    <cfRule type="colorScale" priority="4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F14 K14:P14">
    <cfRule type="colorScale" priority="4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F14 K14:Q14">
    <cfRule type="colorScale" priority="4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:F15 K15:P15">
    <cfRule type="colorScale" priority="4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:F15 K15:Q15">
    <cfRule type="colorScale" priority="4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I7 K7:O7"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I7 K7:Q7">
    <cfRule type="colorScale" priority="4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I15 K7:O15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I15 K7:P15">
    <cfRule type="colorScale" priority="4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I15 K7:Q15">
    <cfRule type="colorScale" priority="4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:I8 K8:Q8">
    <cfRule type="colorScale" priority="4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I9 K9:Q9">
    <cfRule type="colorScale" priority="4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:I10 K10:Q10">
    <cfRule type="colorScale" priority="4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:I11 K11:Q11">
    <cfRule type="colorScale" priority="4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:I12 K12:Q12">
    <cfRule type="colorScale" priority="4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:I13 K13:Q13">
    <cfRule type="colorScale" priority="4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I14 K14:Q14">
    <cfRule type="colorScale" priority="4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:I15 K15:Q15">
    <cfRule type="colorScale" priority="4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:I17 K17:M17 P17">
    <cfRule type="colorScale" priority="4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:I17 K17:M17 P17:Q17">
    <cfRule type="colorScale" priority="4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:I17 K17:M17">
    <cfRule type="colorScale" priority="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:I17 K17:Q17">
    <cfRule type="colorScale" priority="4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9:J19 K20 L19 M20 N19 O20 P19">
    <cfRule type="colorScale" priority="4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2:K82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8:L68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9:L69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2:L72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3:L73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4:L74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O23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:O24">
    <cfRule type="colorScale" priority="1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3:O35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6:O86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P18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:P19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P20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:P24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5:P25">
    <cfRule type="colorScale" priority="4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8:P28">
    <cfRule type="colorScale" priority="4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:P29">
    <cfRule type="colorScale" priority="4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0:P30">
    <cfRule type="colorScale" priority="4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3:P33">
    <cfRule type="colorScale" priority="4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4:P34">
    <cfRule type="colorScale" priority="4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5:P35">
    <cfRule type="colorScale" priority="4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Q7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:Q8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Q9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:Q10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:Q11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:Q12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:Q13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Q14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:Q15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:Q17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D20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0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 E18 G18:J18 L18 N18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 E23 G23 L23 N23 P23">
    <cfRule type="colorScale" priority="1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 E23 G23:J23 L23 N23 P23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8 E28 G28:J28 L28 N28 P28">
    <cfRule type="colorScale" priority="1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3 E33 G33:J33 L33 N33 P33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9:J19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7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:J15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2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3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5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7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0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9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4">
    <cfRule type="colorScale" priority="3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5">
    <cfRule type="colorScale" priority="3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0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0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2:W48 W50:W53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2:W55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9:W50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5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4:N44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4:N4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5:N4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:N4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2:N5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2:N54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3:N5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:N5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8:N5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8:N6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9:N5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0:N6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4:N6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4:N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5:N6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6:N6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R35"/>
  <sheetViews>
    <sheetView workbookViewId="0">
      <selection activeCell="C29" sqref="C29"/>
    </sheetView>
  </sheetViews>
  <sheetFormatPr baseColWidth="10" defaultRowHeight="16"/>
  <cols>
    <col width="24.83203125" bestFit="1" customWidth="1" style="33" min="2" max="2"/>
  </cols>
  <sheetData>
    <row r="3" ht="18" customHeight="1" s="33">
      <c r="A3" s="31" t="n"/>
      <c r="B3" s="31" t="n"/>
      <c r="C3" s="31" t="n"/>
      <c r="D3" s="31" t="n"/>
      <c r="E3" s="31" t="n"/>
      <c r="F3" s="1" t="n"/>
      <c r="G3" s="2" t="n"/>
      <c r="H3" s="2" t="n"/>
      <c r="I3" s="2" t="n"/>
      <c r="J3" s="2" t="n"/>
      <c r="K3" s="2" t="n"/>
      <c r="L3" s="2" t="n"/>
      <c r="M3" s="31" t="n"/>
      <c r="N3" s="31" t="n"/>
      <c r="O3" s="31" t="inlineStr">
        <is>
          <t>temp = 0.7</t>
        </is>
      </c>
    </row>
    <row r="4" ht="18" customHeight="1" s="33">
      <c r="A4" s="31" t="n"/>
      <c r="B4" s="31" t="inlineStr">
        <is>
          <t>Training iterations</t>
        </is>
      </c>
      <c r="C4" s="20" t="inlineStr">
        <is>
          <t>Training iterations</t>
        </is>
      </c>
      <c r="D4" s="20" t="n">
        <v>1000</v>
      </c>
      <c r="E4" s="20" t="n">
        <v>5000</v>
      </c>
      <c r="F4" s="21" t="n">
        <v>10000</v>
      </c>
      <c r="G4" s="21" t="n">
        <v>15000</v>
      </c>
      <c r="H4" s="21" t="n">
        <v>20000</v>
      </c>
      <c r="I4" s="21" t="n">
        <v>25000</v>
      </c>
      <c r="J4" s="21" t="n">
        <v>30000</v>
      </c>
      <c r="K4" s="21" t="n">
        <v>35000</v>
      </c>
      <c r="L4" s="21" t="n">
        <v>40000</v>
      </c>
      <c r="M4" s="21" t="n">
        <v>45000</v>
      </c>
      <c r="N4" s="31" t="n">
        <v>50000</v>
      </c>
      <c r="O4" s="31" t="n">
        <v>0</v>
      </c>
    </row>
    <row r="5" ht="18" customHeight="1" s="33">
      <c r="A5" s="31" t="n"/>
      <c r="B5" s="31" t="inlineStr">
        <is>
          <t>128 tokens generated</t>
        </is>
      </c>
      <c r="C5" s="5" t="inlineStr">
        <is>
          <t>128 tokens generated — Phi-4 token-weighted perplexity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31" t="n"/>
      <c r="N5" s="31" t="n"/>
      <c r="O5" s="31" t="n"/>
    </row>
    <row r="6" ht="18" customHeight="1" s="33">
      <c r="A6" s="32" t="inlineStr">
        <is>
          <t>Phi-4 14B</t>
        </is>
      </c>
      <c r="B6" s="7" t="inlineStr">
        <is>
          <t>LAD-Llama (32 it.)</t>
        </is>
      </c>
      <c r="C6" s="5" t="inlineStr">
        <is>
          <t>BYOD-Llama (32 it.)</t>
        </is>
      </c>
      <c r="D6" s="5" t="n">
        <v>20.10424995422363</v>
      </c>
      <c r="E6" s="5" t="n">
        <v>25.64234352111816</v>
      </c>
      <c r="F6" s="5" t="n">
        <v>20.30332374572754</v>
      </c>
      <c r="G6" s="5" t="n">
        <v>19.73834228515625</v>
      </c>
      <c r="H6" s="5" t="n">
        <v>19.78882598876953</v>
      </c>
      <c r="I6" s="5" t="n">
        <v>17.31105804443359</v>
      </c>
      <c r="J6" s="5" t="n">
        <v>22.93356895446777</v>
      </c>
      <c r="K6" s="5" t="n">
        <v>17.16991996765137</v>
      </c>
      <c r="L6" s="5" t="n">
        <v>16.59307479858398</v>
      </c>
      <c r="M6" s="5" t="n">
        <v>22.20208358764648</v>
      </c>
      <c r="N6" s="31" t="n">
        <v>17.00224113464355</v>
      </c>
      <c r="O6" s="5" t="inlineStr">
        <is>
          <t>LLaDA (32 it.)</t>
        </is>
      </c>
      <c r="P6" t="n">
        <v>5.334906578063965</v>
      </c>
      <c r="Q6" t="inlineStr">
        <is>
          <t>Llama 3.1 8B AR</t>
        </is>
      </c>
      <c r="R6" t="n">
        <v>2.638597726821899</v>
      </c>
    </row>
    <row r="7" ht="18" customHeight="1" s="33">
      <c r="B7" s="7" t="inlineStr">
        <is>
          <t>LAD-Llama (64 it.)</t>
        </is>
      </c>
      <c r="C7" s="5" t="inlineStr">
        <is>
          <t>BYOD-Llama (64 it.)</t>
        </is>
      </c>
      <c r="D7" s="5" t="n">
        <v>11.69381046295166</v>
      </c>
      <c r="E7" s="5" t="n">
        <v>12.16381454467773</v>
      </c>
      <c r="F7" s="5" t="n">
        <v>11.07769298553467</v>
      </c>
      <c r="G7" s="5" t="n">
        <v>10.21605587005615</v>
      </c>
      <c r="H7" s="5" t="n">
        <v>10.07588672637939</v>
      </c>
      <c r="I7" s="5" t="n">
        <v>9.757587432861328</v>
      </c>
      <c r="J7" s="5" t="n">
        <v>11.00800037384033</v>
      </c>
      <c r="K7" s="5" t="n">
        <v>9.088900566101074</v>
      </c>
      <c r="L7" s="5" t="n">
        <v>9.759171485900879</v>
      </c>
      <c r="M7" s="5" t="n">
        <v>10.43219089508057</v>
      </c>
      <c r="N7" s="31" t="n">
        <v>9.534310340881348</v>
      </c>
      <c r="O7" s="5" t="inlineStr">
        <is>
          <t>LLaDA (64 it.)</t>
        </is>
      </c>
      <c r="P7" t="n">
        <v>4.065366268157959</v>
      </c>
      <c r="Q7" t="inlineStr">
        <is>
          <t>Llama 3.1 8B AR</t>
        </is>
      </c>
      <c r="R7" t="n">
        <v>2.638597726821899</v>
      </c>
    </row>
    <row r="8" ht="18" customHeight="1" s="33">
      <c r="B8" s="7" t="inlineStr">
        <is>
          <t>LAD-Llama (128 it.)</t>
        </is>
      </c>
      <c r="C8" s="5" t="inlineStr">
        <is>
          <t>BYOD-Llama (128 it.)</t>
        </is>
      </c>
      <c r="D8" s="5" t="n">
        <v>6.043358325958252</v>
      </c>
      <c r="E8" s="5" t="n">
        <v>5.753337860107422</v>
      </c>
      <c r="F8" s="5" t="n">
        <v>5.449683666229248</v>
      </c>
      <c r="G8" s="5" t="n">
        <v>5.394126892089844</v>
      </c>
      <c r="H8" s="5" t="n">
        <v>4.890061378479004</v>
      </c>
      <c r="I8" s="5" t="n">
        <v>5.126490116119385</v>
      </c>
      <c r="J8" s="5" t="n">
        <v>5.103343963623047</v>
      </c>
      <c r="K8" s="5" t="n">
        <v>4.802248001098633</v>
      </c>
      <c r="L8" s="5" t="n">
        <v>5.045702934265137</v>
      </c>
      <c r="M8" s="5" t="n">
        <v>5.248916149139404</v>
      </c>
      <c r="N8" s="31" t="n">
        <v>4.829687595367432</v>
      </c>
      <c r="O8" s="14" t="inlineStr">
        <is>
          <t>LLaDA (128 it.)</t>
        </is>
      </c>
      <c r="P8" t="n">
        <v>2.794792175292969</v>
      </c>
      <c r="Q8" t="inlineStr">
        <is>
          <t>Llama 3.1 8B AR</t>
        </is>
      </c>
      <c r="R8" t="n">
        <v>2.638597726821899</v>
      </c>
    </row>
    <row r="9" ht="18" customHeight="1" s="33">
      <c r="A9" s="31" t="n"/>
      <c r="B9" s="31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31" t="n"/>
      <c r="N9" s="31" t="n"/>
      <c r="O9" s="31" t="n"/>
    </row>
    <row r="10" ht="18" customHeight="1" s="33">
      <c r="A10" s="31" t="n"/>
      <c r="B10" s="31" t="inlineStr">
        <is>
          <t>Training iterations</t>
        </is>
      </c>
      <c r="C10" s="20" t="n">
        <v>1000</v>
      </c>
      <c r="D10" s="20" t="n">
        <v>5000</v>
      </c>
      <c r="E10" s="20" t="n">
        <v>10000</v>
      </c>
      <c r="F10" s="21" t="n">
        <v>15000</v>
      </c>
      <c r="G10" s="21" t="n">
        <v>20000</v>
      </c>
      <c r="H10" s="21" t="n">
        <v>25000</v>
      </c>
      <c r="I10" s="21" t="n">
        <v>30000</v>
      </c>
      <c r="J10" s="21" t="n">
        <v>35000</v>
      </c>
      <c r="K10" s="21" t="n">
        <v>40000</v>
      </c>
      <c r="L10" s="21" t="n">
        <v>45000</v>
      </c>
      <c r="M10" s="21" t="n">
        <v>50000</v>
      </c>
      <c r="N10" s="31" t="n"/>
      <c r="O10" s="31" t="n">
        <v>60000</v>
      </c>
    </row>
    <row r="11" ht="18" customHeight="1" s="33">
      <c r="A11" s="31" t="n"/>
      <c r="B11" s="31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31" t="n"/>
      <c r="N11" s="31" t="n"/>
      <c r="O11" s="31" t="n"/>
    </row>
    <row r="12" ht="18" customHeight="1" s="33">
      <c r="A12" s="32" t="inlineStr">
        <is>
          <t>Phi-4 14B</t>
        </is>
      </c>
      <c r="B12" s="7" t="inlineStr">
        <is>
          <t>LAD-Gemma (32 it.)</t>
        </is>
      </c>
      <c r="C12" s="5" t="n">
        <v>19.2063</v>
      </c>
      <c r="D12" s="5" t="n">
        <v>13.2354</v>
      </c>
      <c r="E12" s="5" t="n">
        <v>11.547</v>
      </c>
      <c r="F12" s="5" t="n">
        <v>12.4133</v>
      </c>
      <c r="G12" s="5" t="n">
        <v>10.3984</v>
      </c>
      <c r="H12" s="5" t="n">
        <v>11.6882</v>
      </c>
      <c r="I12" s="5" t="n"/>
      <c r="J12" s="5" t="n"/>
      <c r="K12" s="5" t="n"/>
      <c r="L12" s="5" t="n"/>
      <c r="M12" s="5" t="n"/>
      <c r="N12" s="31" t="n"/>
      <c r="O12" s="31" t="n"/>
    </row>
    <row r="13" ht="18" customHeight="1" s="33">
      <c r="B13" s="7" t="inlineStr">
        <is>
          <t>LAD-Gemma (64 it.)</t>
        </is>
      </c>
      <c r="C13" s="5" t="n">
        <v>10.387</v>
      </c>
      <c r="D13" s="5" t="n">
        <v>7.5059</v>
      </c>
      <c r="E13" s="5" t="n">
        <v>7.9411</v>
      </c>
      <c r="F13" s="5" t="n">
        <v>6.746</v>
      </c>
      <c r="G13" s="5" t="n">
        <v>6.7505</v>
      </c>
      <c r="H13" s="5" t="n">
        <v>7.8263</v>
      </c>
      <c r="I13" s="5" t="n"/>
      <c r="J13" s="5" t="n"/>
      <c r="K13" s="5" t="n"/>
      <c r="L13" s="5" t="n"/>
      <c r="M13" s="5" t="n"/>
      <c r="N13" s="31" t="n"/>
      <c r="O13" s="31" t="n"/>
    </row>
    <row r="14" ht="18" customHeight="1" s="33">
      <c r="B14" s="7" t="inlineStr">
        <is>
          <t>LAD-Gemma (128 it.)</t>
        </is>
      </c>
      <c r="C14" s="5" t="n">
        <v>5.8516</v>
      </c>
      <c r="D14" s="5" t="n">
        <v>4.4569</v>
      </c>
      <c r="E14" s="5" t="n">
        <v>4.3131</v>
      </c>
      <c r="F14" s="5" t="n">
        <v>3.4537</v>
      </c>
      <c r="G14" s="5" t="n">
        <v>3.9409</v>
      </c>
      <c r="H14" s="5" t="n">
        <v>3.8718</v>
      </c>
      <c r="I14" s="5" t="n"/>
      <c r="J14" s="5" t="n"/>
      <c r="K14" s="5" t="n"/>
      <c r="L14" s="5" t="n"/>
      <c r="M14" s="5" t="n"/>
      <c r="N14" s="31" t="n"/>
      <c r="O14" s="31" t="n"/>
    </row>
    <row r="15" ht="18" customHeight="1" s="33">
      <c r="A15" s="31" t="n"/>
      <c r="B15" s="31" t="n"/>
      <c r="C15" s="31" t="n"/>
      <c r="D15" s="31" t="n"/>
      <c r="E15" s="31" t="n"/>
      <c r="F15" s="31" t="n"/>
      <c r="G15" s="31" t="n"/>
      <c r="H15" s="31" t="n"/>
      <c r="I15" s="31" t="n"/>
      <c r="J15" s="31" t="n"/>
      <c r="K15" s="31" t="n"/>
      <c r="L15" s="31" t="n"/>
      <c r="M15" s="31" t="n"/>
      <c r="N15" s="31" t="n"/>
      <c r="O15" s="31" t="n"/>
    </row>
    <row r="16" ht="18" customHeight="1" s="33">
      <c r="A16" s="31" t="n"/>
      <c r="B16" s="31" t="n"/>
      <c r="C16" s="31" t="n"/>
      <c r="D16" s="31" t="n"/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</row>
    <row r="17" ht="18" customHeight="1" s="33">
      <c r="A17" s="31" t="n"/>
      <c r="B17" s="31" t="n"/>
      <c r="C17" s="20" t="inlineStr">
        <is>
          <t>Training iterations</t>
        </is>
      </c>
      <c r="D17" s="20" t="n">
        <v>1000</v>
      </c>
      <c r="E17" s="20" t="n">
        <v>5000</v>
      </c>
      <c r="F17" s="21" t="n">
        <v>10000</v>
      </c>
      <c r="G17" s="21" t="n">
        <v>15000</v>
      </c>
      <c r="H17" s="21" t="n">
        <v>20000</v>
      </c>
      <c r="I17" s="21" t="n">
        <v>25000</v>
      </c>
      <c r="J17" s="21" t="n">
        <v>30000</v>
      </c>
      <c r="K17" s="21" t="n">
        <v>35000</v>
      </c>
      <c r="L17" s="21" t="n">
        <v>40000</v>
      </c>
      <c r="M17" s="21" t="n">
        <v>45000</v>
      </c>
      <c r="N17" s="31" t="n">
        <v>50000</v>
      </c>
      <c r="O17" s="31" t="n"/>
    </row>
    <row r="18" ht="18" customHeight="1" s="33">
      <c r="A18" s="31" t="n"/>
      <c r="B18" s="31" t="n"/>
      <c r="C18" s="5" t="inlineStr">
        <is>
          <t>128 tokens generated — mean sliding model-token Distinct-1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31" t="n"/>
      <c r="N18" s="31" t="n"/>
      <c r="O18" s="31" t="n"/>
    </row>
    <row r="19" ht="18" customHeight="1" s="33">
      <c r="A19" s="32" t="n"/>
      <c r="B19" s="7" t="n"/>
      <c r="C19" s="5" t="inlineStr">
        <is>
          <t>BYOD-Llama (32 it.)</t>
        </is>
      </c>
      <c r="D19" s="5" t="n">
        <v>0.434746102302838</v>
      </c>
      <c r="E19" s="5" t="n">
        <v>0.4790646472524484</v>
      </c>
      <c r="F19" s="5" t="n">
        <v>0.4364320797657731</v>
      </c>
      <c r="G19" s="5" t="n">
        <v>0.4396616523783826</v>
      </c>
      <c r="H19" s="5" t="n">
        <v>0.4609629263353701</v>
      </c>
      <c r="I19" s="5" t="n">
        <v>0.417526379813236</v>
      </c>
      <c r="J19" s="5" t="n">
        <v>0.5207913218210439</v>
      </c>
      <c r="K19" s="5" t="n">
        <v>0.4442292582849558</v>
      </c>
      <c r="L19" s="5" t="n">
        <v>0.4429556142795824</v>
      </c>
      <c r="M19" s="5" t="n">
        <v>0.512294828090765</v>
      </c>
      <c r="N19" s="31" t="n">
        <v>0.435041876030047</v>
      </c>
      <c r="O19" s="5" t="inlineStr">
        <is>
          <t>LLaDA (32 it.)</t>
        </is>
      </c>
      <c r="P19" t="n">
        <v>0.4518068870489012</v>
      </c>
      <c r="Q19" t="inlineStr">
        <is>
          <t>Llama 3.1 8B AR</t>
        </is>
      </c>
      <c r="R19" t="n">
        <v>0.620703125</v>
      </c>
    </row>
    <row r="20" ht="18" customHeight="1" s="33">
      <c r="B20" s="7" t="n"/>
      <c r="C20" s="5" t="inlineStr">
        <is>
          <t>BYOD-Llama (64 it.)</t>
        </is>
      </c>
      <c r="D20" s="5" t="n">
        <v>0.4770001857813828</v>
      </c>
      <c r="E20" s="5" t="n">
        <v>0.5036962743523382</v>
      </c>
      <c r="F20" s="5" t="n">
        <v>0.4949032341102356</v>
      </c>
      <c r="G20" s="5" t="n">
        <v>0.4603871065091548</v>
      </c>
      <c r="H20" s="5" t="n">
        <v>0.4900945150578522</v>
      </c>
      <c r="I20" s="5" t="n">
        <v>0.4761299096660723</v>
      </c>
      <c r="J20" s="5" t="n">
        <v>0.5660157300756498</v>
      </c>
      <c r="K20" s="5" t="n">
        <v>0.4829679223470319</v>
      </c>
      <c r="L20" s="5" t="n">
        <v>0.4940800474890126</v>
      </c>
      <c r="M20" s="5" t="n">
        <v>0.5588273675088411</v>
      </c>
      <c r="N20" s="31" t="n">
        <v>0.4961229208330553</v>
      </c>
      <c r="O20" s="5" t="inlineStr">
        <is>
          <t>LLaDA (64 it.)</t>
        </is>
      </c>
      <c r="P20" t="n">
        <v>0.5137462150564513</v>
      </c>
      <c r="Q20" t="inlineStr">
        <is>
          <t>Llama 3.1 8B AR</t>
        </is>
      </c>
      <c r="R20" t="n">
        <v>0.620703125</v>
      </c>
    </row>
    <row r="21" ht="18" customHeight="1" s="33">
      <c r="B21" s="7" t="n"/>
      <c r="C21" s="5" t="inlineStr">
        <is>
          <t>BYOD-Llama (128 it.)</t>
        </is>
      </c>
      <c r="D21" s="5" t="n">
        <v>0.5054446859283357</v>
      </c>
      <c r="E21" s="5" t="n">
        <v>0.519199366453035</v>
      </c>
      <c r="F21" s="5" t="n">
        <v>0.5178086392366672</v>
      </c>
      <c r="G21" s="5" t="n">
        <v>0.4954837457655661</v>
      </c>
      <c r="H21" s="5" t="n">
        <v>0.511337848264892</v>
      </c>
      <c r="I21" s="5" t="n">
        <v>0.50891858524168</v>
      </c>
      <c r="J21" s="5" t="n">
        <v>0.5717420902235882</v>
      </c>
      <c r="K21" s="5" t="n">
        <v>0.5275748647375792</v>
      </c>
      <c r="L21" s="5" t="n">
        <v>0.5119562703885332</v>
      </c>
      <c r="M21" s="5" t="n">
        <v>0.5843122972986872</v>
      </c>
      <c r="N21" s="31" t="n">
        <v>0.5073863484216871</v>
      </c>
      <c r="O21" s="14" t="inlineStr">
        <is>
          <t>LLaDA (128 it.)</t>
        </is>
      </c>
      <c r="P21" t="n">
        <v>0.5339673886917981</v>
      </c>
      <c r="Q21" t="inlineStr">
        <is>
          <t>Llama 3.1 8B AR</t>
        </is>
      </c>
      <c r="R21" t="n">
        <v>0.620703125</v>
      </c>
    </row>
    <row r="24" ht="18" customHeight="1" s="33">
      <c r="A24" s="31" t="n"/>
      <c r="B24" s="31" t="n"/>
      <c r="C24" s="20" t="inlineStr">
        <is>
          <t>Training iterations</t>
        </is>
      </c>
      <c r="D24" s="20" t="n">
        <v>1000</v>
      </c>
      <c r="E24" s="20" t="n">
        <v>5000</v>
      </c>
      <c r="F24" s="21" t="n">
        <v>10000</v>
      </c>
      <c r="G24" s="21" t="n">
        <v>15000</v>
      </c>
      <c r="H24" s="21" t="n">
        <v>20000</v>
      </c>
      <c r="I24" s="21" t="n">
        <v>25000</v>
      </c>
      <c r="J24" s="21" t="n">
        <v>30000</v>
      </c>
      <c r="K24" s="21" t="n">
        <v>35000</v>
      </c>
      <c r="L24" s="21" t="n">
        <v>40000</v>
      </c>
      <c r="M24" s="21" t="n">
        <v>45000</v>
      </c>
      <c r="N24" s="31" t="n">
        <v>50000</v>
      </c>
      <c r="O24" s="31" t="n"/>
    </row>
    <row r="25" ht="18" customHeight="1" s="33">
      <c r="A25" s="31" t="n"/>
      <c r="B25" s="31" t="n"/>
      <c r="C25" s="5" t="inlineStr">
        <is>
          <t>128 tokens generated — mean sliding model-token Distinct-2</t>
        </is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31" t="n"/>
      <c r="N25" s="31" t="n"/>
      <c r="O25" s="31" t="n"/>
    </row>
    <row r="26" ht="18" customHeight="1" s="33">
      <c r="A26" s="32" t="n"/>
      <c r="B26" s="7" t="n"/>
      <c r="C26" s="5" t="inlineStr">
        <is>
          <t>BYOD-Llama (32 it.)</t>
        </is>
      </c>
      <c r="D26" s="5" t="n">
        <v>0.7465254717246519</v>
      </c>
      <c r="E26" s="5" t="n">
        <v>0.8112197857165926</v>
      </c>
      <c r="F26" s="5" t="n">
        <v>0.7541232515973145</v>
      </c>
      <c r="G26" s="5" t="n">
        <v>0.7475555564315401</v>
      </c>
      <c r="H26" s="5" t="n">
        <v>0.775354750100294</v>
      </c>
      <c r="I26" s="5" t="n">
        <v>0.7197307073257307</v>
      </c>
      <c r="J26" s="5" t="n">
        <v>0.8262551751359607</v>
      </c>
      <c r="K26" s="5" t="n">
        <v>0.7554570041544331</v>
      </c>
      <c r="L26" s="5" t="n">
        <v>0.7478366088477502</v>
      </c>
      <c r="M26" s="5" t="n">
        <v>0.8113632131139439</v>
      </c>
      <c r="N26" s="31" t="n">
        <v>0.7534362806294969</v>
      </c>
      <c r="O26" s="5" t="inlineStr">
        <is>
          <t>LLaDA (32 it.)</t>
        </is>
      </c>
      <c r="P26" t="n">
        <v>0.7458363992037593</v>
      </c>
      <c r="Q26" t="inlineStr">
        <is>
          <t>Llama 3.1 8B AR</t>
        </is>
      </c>
      <c r="R26" t="n">
        <v>0.8956692913385826</v>
      </c>
    </row>
    <row r="27" ht="18" customHeight="1" s="33">
      <c r="B27" s="7" t="n"/>
      <c r="C27" s="5" t="inlineStr">
        <is>
          <t>BYOD-Llama (64 it.)</t>
        </is>
      </c>
      <c r="D27" s="5" t="n">
        <v>0.7653417136140228</v>
      </c>
      <c r="E27" s="5" t="n">
        <v>0.8087142432097123</v>
      </c>
      <c r="F27" s="5" t="n">
        <v>0.7868520256811472</v>
      </c>
      <c r="G27" s="5" t="n">
        <v>0.7448636685412484</v>
      </c>
      <c r="H27" s="5" t="n">
        <v>0.7818280329221895</v>
      </c>
      <c r="I27" s="5" t="n">
        <v>0.7680126304153245</v>
      </c>
      <c r="J27" s="5" t="n">
        <v>0.8465911235602921</v>
      </c>
      <c r="K27" s="5" t="n">
        <v>0.7773631990335352</v>
      </c>
      <c r="L27" s="5" t="n">
        <v>0.7854051040450196</v>
      </c>
      <c r="M27" s="5" t="n">
        <v>0.8381913301726476</v>
      </c>
      <c r="N27" s="31" t="n">
        <v>0.7912437391323626</v>
      </c>
      <c r="O27" s="5" t="inlineStr">
        <is>
          <t>LLaDA (64 it.)</t>
        </is>
      </c>
      <c r="P27" t="n">
        <v>0.8228125277351084</v>
      </c>
      <c r="Q27" t="inlineStr">
        <is>
          <t>Llama 3.1 8B AR</t>
        </is>
      </c>
      <c r="R27" t="n">
        <v>0.8956692913385826</v>
      </c>
    </row>
    <row r="28" ht="18" customHeight="1" s="33">
      <c r="B28" s="7" t="n"/>
      <c r="C28" s="5" t="inlineStr">
        <is>
          <t>BYOD-Llama (128 it.)</t>
        </is>
      </c>
      <c r="D28" s="5" t="n">
        <v>0.7830597621110132</v>
      </c>
      <c r="E28" s="5" t="n">
        <v>0.8064073298678864</v>
      </c>
      <c r="F28" s="5" t="n">
        <v>0.7937104727462332</v>
      </c>
      <c r="G28" s="5" t="n">
        <v>0.7627448026242314</v>
      </c>
      <c r="H28" s="5" t="n">
        <v>0.8009410518420114</v>
      </c>
      <c r="I28" s="5" t="n">
        <v>0.7909752895896033</v>
      </c>
      <c r="J28" s="5" t="n">
        <v>0.8419165604351599</v>
      </c>
      <c r="K28" s="5" t="n">
        <v>0.8160420765709792</v>
      </c>
      <c r="L28" s="5" t="n">
        <v>0.798767023558475</v>
      </c>
      <c r="M28" s="5" t="n">
        <v>0.8552598551268979</v>
      </c>
      <c r="N28" s="31" t="n">
        <v>0.7923201582427839</v>
      </c>
      <c r="O28" s="14" t="inlineStr">
        <is>
          <t>LLaDA (128 it.)</t>
        </is>
      </c>
      <c r="P28" t="n">
        <v>0.8494491582491582</v>
      </c>
      <c r="Q28" t="inlineStr">
        <is>
          <t>Llama 3.1 8B AR</t>
        </is>
      </c>
      <c r="R28" t="n">
        <v>0.8956692913385826</v>
      </c>
    </row>
    <row r="31" ht="18" customHeight="1" s="33">
      <c r="A31" s="31" t="n"/>
      <c r="B31" s="31" t="n"/>
      <c r="C31" s="20" t="inlineStr">
        <is>
          <t>Training iterations</t>
        </is>
      </c>
      <c r="D31" s="20" t="n">
        <v>1000</v>
      </c>
      <c r="E31" s="20" t="n">
        <v>5000</v>
      </c>
      <c r="F31" s="21" t="n">
        <v>10000</v>
      </c>
      <c r="G31" s="21" t="n">
        <v>15000</v>
      </c>
      <c r="H31" s="21" t="n">
        <v>20000</v>
      </c>
      <c r="I31" s="21" t="n">
        <v>25000</v>
      </c>
      <c r="J31" s="21" t="n">
        <v>30000</v>
      </c>
      <c r="K31" s="21" t="n">
        <v>35000</v>
      </c>
      <c r="L31" s="21" t="n">
        <v>40000</v>
      </c>
      <c r="M31" s="21" t="n">
        <v>45000</v>
      </c>
      <c r="N31" s="31" t="n">
        <v>50000</v>
      </c>
      <c r="O31" s="31" t="n"/>
    </row>
    <row r="32" ht="18" customHeight="1" s="33">
      <c r="A32" s="31" t="n"/>
      <c r="B32" s="31" t="n"/>
      <c r="C32" s="5" t="inlineStr">
        <is>
          <t>128 tokens generated — mean sliding model-token Distinct-3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31" t="n"/>
      <c r="N32" s="31" t="n"/>
      <c r="O32" s="31" t="n"/>
    </row>
    <row r="33" ht="18" customHeight="1" s="33">
      <c r="A33" s="32" t="n"/>
      <c r="B33" s="7" t="n"/>
      <c r="C33" s="5" t="inlineStr">
        <is>
          <t>BYOD-Llama (32 it.)</t>
        </is>
      </c>
      <c r="D33" s="5" t="n">
        <v>0.8753198735850859</v>
      </c>
      <c r="E33" s="5" t="n">
        <v>0.9270532721013484</v>
      </c>
      <c r="F33" s="5" t="n">
        <v>0.8870699154063673</v>
      </c>
      <c r="G33" s="5" t="n">
        <v>0.8829006774858779</v>
      </c>
      <c r="H33" s="5" t="n">
        <v>0.9014486115784099</v>
      </c>
      <c r="I33" s="5" t="n">
        <v>0.8518325451056051</v>
      </c>
      <c r="J33" s="5" t="n">
        <v>0.9267317414300716</v>
      </c>
      <c r="K33" s="5" t="n">
        <v>0.8862653099083593</v>
      </c>
      <c r="L33" s="5" t="n">
        <v>0.875386421713143</v>
      </c>
      <c r="M33" s="5" t="n">
        <v>0.9199961160415445</v>
      </c>
      <c r="N33" s="31" t="n">
        <v>0.8887521056913963</v>
      </c>
      <c r="O33" s="5" t="inlineStr">
        <is>
          <t>LLaDA (32 it.)</t>
        </is>
      </c>
      <c r="P33" t="n">
        <v>0.8447467723417461</v>
      </c>
      <c r="Q33" t="inlineStr">
        <is>
          <t>Llama 3.1 8B AR</t>
        </is>
      </c>
      <c r="R33" t="n">
        <v>0.954047619047619</v>
      </c>
    </row>
    <row r="34" ht="18" customHeight="1" s="33">
      <c r="B34" s="7" t="n"/>
      <c r="C34" s="5" t="inlineStr">
        <is>
          <t>BYOD-Llama (64 it.)</t>
        </is>
      </c>
      <c r="D34" s="5" t="n">
        <v>0.8638053978946415</v>
      </c>
      <c r="E34" s="5" t="n">
        <v>0.9064424200671979</v>
      </c>
      <c r="F34" s="5" t="n">
        <v>0.8838037665060672</v>
      </c>
      <c r="G34" s="5" t="n">
        <v>0.8523986307869598</v>
      </c>
      <c r="H34" s="5" t="n">
        <v>0.8801325382828397</v>
      </c>
      <c r="I34" s="5" t="n">
        <v>0.8735682715414933</v>
      </c>
      <c r="J34" s="5" t="n">
        <v>0.9242393333892163</v>
      </c>
      <c r="K34" s="5" t="n">
        <v>0.8778186678489756</v>
      </c>
      <c r="L34" s="5" t="n">
        <v>0.8864254779840042</v>
      </c>
      <c r="M34" s="5" t="n">
        <v>0.9232639157226578</v>
      </c>
      <c r="N34" s="31" t="n">
        <v>0.8918719251653024</v>
      </c>
      <c r="O34" s="5" t="inlineStr">
        <is>
          <t>LLaDA (64 it.)</t>
        </is>
      </c>
      <c r="P34" t="n">
        <v>0.9160808112597255</v>
      </c>
      <c r="Q34" t="inlineStr">
        <is>
          <t>Llama 3.1 8B AR</t>
        </is>
      </c>
      <c r="R34" t="n">
        <v>0.954047619047619</v>
      </c>
    </row>
    <row r="35" ht="18" customHeight="1" s="33">
      <c r="B35" s="7" t="n"/>
      <c r="C35" s="5" t="inlineStr">
        <is>
          <t>BYOD-Llama (128 it.)</t>
        </is>
      </c>
      <c r="D35" s="5" t="n">
        <v>0.8727189519854217</v>
      </c>
      <c r="E35" s="5" t="n">
        <v>0.8991272440231518</v>
      </c>
      <c r="F35" s="5" t="n">
        <v>0.8846654157733219</v>
      </c>
      <c r="G35" s="5" t="n">
        <v>0.8559358721535252</v>
      </c>
      <c r="H35" s="5" t="n">
        <v>0.8956816655050087</v>
      </c>
      <c r="I35" s="5" t="n">
        <v>0.8853025773993753</v>
      </c>
      <c r="J35" s="5" t="n">
        <v>0.9242696608846586</v>
      </c>
      <c r="K35" s="5" t="n">
        <v>0.9041828997570535</v>
      </c>
      <c r="L35" s="5" t="n">
        <v>0.8914650348851834</v>
      </c>
      <c r="M35" s="5" t="n">
        <v>0.9318457286887116</v>
      </c>
      <c r="N35" s="31" t="n">
        <v>0.8864252529499462</v>
      </c>
      <c r="O35" s="14" t="inlineStr">
        <is>
          <t>LLaDA (128 it.)</t>
        </is>
      </c>
      <c r="P35" t="n">
        <v>0.9334603282399547</v>
      </c>
      <c r="Q35" t="inlineStr">
        <is>
          <t>Llama 3.1 8B AR</t>
        </is>
      </c>
      <c r="R35" t="n">
        <v>0.954047619047619</v>
      </c>
    </row>
  </sheetData>
  <mergeCells count="2">
    <mergeCell ref="A6:A8"/>
    <mergeCell ref="A12:A14"/>
  </mergeCells>
  <conditionalFormatting sqref="C12:H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:H1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4:H1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M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M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:M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:M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pane ySplit="1" topLeftCell="A20" activePane="bottomLeft" state="frozen"/>
      <selection pane="bottomLeft" activeCell="A1" sqref="A1"/>
    </sheetView>
  </sheetViews>
  <sheetFormatPr baseColWidth="10" defaultColWidth="8.83203125" defaultRowHeight="16"/>
  <cols>
    <col width="40" customWidth="1" style="33" min="1" max="1"/>
    <col width="115" customWidth="1" style="33" min="2" max="2"/>
  </cols>
  <sheetData>
    <row r="1">
      <c r="A1" s="24" t="inlineStr">
        <is>
          <t>Field</t>
        </is>
      </c>
      <c r="B1" s="24" t="inlineStr">
        <is>
          <t>Value</t>
        </is>
      </c>
    </row>
    <row r="2">
      <c r="A2" t="inlineStr">
        <is>
          <t>Run ID</t>
        </is>
      </c>
      <c r="B2" t="inlineStr">
        <is>
          <t>20260918T112818.173051Z--colab-validation</t>
        </is>
      </c>
    </row>
    <row r="3">
      <c r="A3" t="inlineStr">
        <is>
          <t>Started UTC</t>
        </is>
      </c>
      <c r="B3" t="inlineStr">
        <is>
          <t>2026-09-18T11:28:18.173051+00:00</t>
        </is>
      </c>
    </row>
    <row r="4">
      <c r="A4" t="inlineStr">
        <is>
          <t>Completed UTC</t>
        </is>
      </c>
      <c r="B4" t="inlineStr">
        <is>
          <t>2026-09-18T11:59:45.179621+00:00</t>
        </is>
      </c>
    </row>
    <row r="5">
      <c r="A5" t="inlineStr">
        <is>
          <t>Source summary</t>
        </is>
      </c>
      <c r="B5" t="inlineStr">
        <is>
          <t>/Users/rkuiper/Library/CloudStorage/GoogleDrive-ruurd.kuiper@gmail.com/My Drive/lad-generic-results/validation/benchmark_runs/20260918T112818.173051Z--colab-validation/summary.json</t>
        </is>
      </c>
    </row>
    <row r="6">
      <c r="A6" t="inlineStr">
        <is>
          <t>Output length</t>
        </is>
      </c>
      <c r="B6" t="n">
        <v>128</v>
      </c>
    </row>
    <row r="7">
      <c r="A7" t="inlineStr">
        <is>
          <t>Diffusion iterations</t>
        </is>
      </c>
      <c r="B7" t="n">
        <v>32</v>
      </c>
    </row>
    <row r="8">
      <c r="A8" t="inlineStr">
        <is>
          <t>Perplexity statistic</t>
        </is>
      </c>
      <c r="B8" t="inlineStr">
        <is>
          <t>Token-weighted perplexity = exp(total NLL / total scored tokens)</t>
        </is>
      </c>
    </row>
    <row r="9">
      <c r="A9" t="inlineStr">
        <is>
          <t>Distinct metrics</t>
        </is>
      </c>
      <c r="B9" t="inlineStr">
        <is>
          <t>Mean per-answer sliding Distinct-n over model-tokenizer tokens</t>
        </is>
      </c>
    </row>
    <row r="10">
      <c r="A10" t="inlineStr">
        <is>
          <t>Perplexity scorer</t>
        </is>
      </c>
      <c r="B10" t="inlineStr">
        <is>
          <t>microsoft/phi-4</t>
        </is>
      </c>
    </row>
    <row r="11">
      <c r="A11" t="inlineStr">
        <is>
          <t>Prompts per result</t>
        </is>
      </c>
      <c r="B11" t="n">
        <v>30</v>
      </c>
    </row>
    <row r="13">
      <c r="A13" t="inlineStr">
        <is>
          <t>Merged-model run ID</t>
        </is>
      </c>
      <c r="B13" t="inlineStr">
        <is>
          <t>20260918T123901.774999Z--colab-validation</t>
        </is>
      </c>
    </row>
    <row r="14">
      <c r="A14" t="inlineStr">
        <is>
          <t>Merged-model started UTC</t>
        </is>
      </c>
      <c r="B14" t="inlineStr">
        <is>
          <t>2026-09-18T12:39:01.774999+00:00</t>
        </is>
      </c>
    </row>
    <row r="15">
      <c r="A15" t="inlineStr">
        <is>
          <t>Merged-model completed UTC</t>
        </is>
      </c>
      <c r="B15" t="inlineStr">
        <is>
          <t>2026-09-18T12:43:38.360970+00:00</t>
        </is>
      </c>
    </row>
    <row r="16">
      <c r="A16" t="inlineStr">
        <is>
          <t>Merged-model source summary</t>
        </is>
      </c>
      <c r="B16" t="inlineStr">
        <is>
          <t>/Users/rkuiper/Library/CloudStorage/GoogleDrive-ruurd.kuiper@gmail.com/My Drive/lad-generic-results/validation/benchmark_runs/20260918T123901.774999Z--colab-validation/summary.json</t>
        </is>
      </c>
    </row>
    <row r="17">
      <c r="A17" t="inlineStr">
        <is>
          <t>Merged checkpoint</t>
        </is>
      </c>
      <c r="B17" t="inlineStr">
        <is>
          <t>merged:/content/drive/MyDrive/lad-generic-results/merged/llama-3.1-8b-mask</t>
        </is>
      </c>
    </row>
    <row r="18">
      <c r="A18" t="inlineStr">
        <is>
          <t>Matched adapter result</t>
        </is>
      </c>
      <c r="B18" t="inlineStr">
        <is>
          <t>20260918T112818.173051Z--colab-validation; llama-3.1-8b-mask/best</t>
        </is>
      </c>
    </row>
    <row r="19">
      <c r="A19" t="inlineStr">
        <is>
          <t>Merged token-weighted perplexity</t>
        </is>
      </c>
      <c r="B19" t="n">
        <v>19.28275299072266</v>
      </c>
    </row>
    <row r="20">
      <c r="A20" t="inlineStr">
        <is>
          <t>Merged mean Distinct-1</t>
        </is>
      </c>
      <c r="B20" t="n">
        <v>0.4975392519756147</v>
      </c>
    </row>
    <row r="21">
      <c r="A21" t="inlineStr">
        <is>
          <t>Merged mean Distinct-2</t>
        </is>
      </c>
      <c r="B21" t="n">
        <v>0.8068841402004969</v>
      </c>
    </row>
    <row r="22">
      <c r="A22" t="inlineStr">
        <is>
          <t>Merged mean Distinct-3</t>
        </is>
      </c>
      <c r="B22" t="n">
        <v>0.9179936081691912</v>
      </c>
    </row>
    <row r="23">
      <c r="A23" t="inlineStr">
        <is>
          <t>Merge comparison settings</t>
        </is>
      </c>
      <c r="B23" t="inlineStr">
        <is>
          <t>30 prompts; 128 output tokens; 32 iterations; seed 1234; temperature 0.7; Phi-4 scorer</t>
        </is>
      </c>
    </row>
    <row r="25">
      <c r="A25" t="inlineStr">
        <is>
          <t>64-step run ID</t>
        </is>
      </c>
      <c r="B25" t="inlineStr">
        <is>
          <t>20260918T135058.643507Z--colab-validation</t>
        </is>
      </c>
    </row>
    <row r="26">
      <c r="A26" t="inlineStr">
        <is>
          <t>64-step started UTC</t>
        </is>
      </c>
      <c r="B26" t="inlineStr">
        <is>
          <t>2026-09-18T13:50:58.643507+00:00</t>
        </is>
      </c>
    </row>
    <row r="27">
      <c r="A27" t="inlineStr">
        <is>
          <t>64-step completed UTC</t>
        </is>
      </c>
      <c r="B27" t="inlineStr">
        <is>
          <t>2026-09-18T14:29:25.971984+00:00</t>
        </is>
      </c>
    </row>
    <row r="28">
      <c r="A28" t="inlineStr">
        <is>
          <t>64-step source summary</t>
        </is>
      </c>
      <c r="B28" t="inlineStr">
        <is>
          <t>/Users/rkuiper/Library/CloudStorage/GoogleDrive-ruurd.kuiper@gmail.com/My Drive/lad-generic-results/validation/benchmark_runs/20260918T135058.643507Z--colab-validation/summary.json</t>
        </is>
      </c>
    </row>
    <row r="29">
      <c r="A29" t="inlineStr">
        <is>
          <t>64-step imported metrics</t>
        </is>
      </c>
      <c r="B29" t="inlineStr">
        <is>
          <t>Token-weighted perplexity and mean sliding model-token Distinct-1/2/3</t>
        </is>
      </c>
    </row>
    <row r="30">
      <c r="A30" t="inlineStr">
        <is>
          <t>64-step imported columns</t>
        </is>
      </c>
      <c r="B30" t="inlineStr">
        <is>
          <t>Gemma D/AR; Llama D/merged/continued/frontier-25k/frontier-50k/AR; Qwen D/AR; Ministral D/AR; LLaDA</t>
        </is>
      </c>
    </row>
    <row r="31">
      <c r="A31" t="inlineStr">
        <is>
          <t>Legacy result omitted from 64-step rows</t>
        </is>
      </c>
      <c r="B31" t="inlineStr">
        <is>
          <t>Actual num_steps=32; token-weighted PPL=29.86834144592285; D1/D2/D3=0.359883276468082/0.6493628215583258/0.7861571146586783</t>
        </is>
      </c>
    </row>
    <row r="33">
      <c r="A33" t="inlineStr">
        <is>
          <t>128-step run ID</t>
        </is>
      </c>
      <c r="B33" t="inlineStr">
        <is>
          <t>20260918T145248.574217Z--colab-validation</t>
        </is>
      </c>
    </row>
    <row r="34">
      <c r="A34" t="inlineStr">
        <is>
          <t>128-step started UTC</t>
        </is>
      </c>
      <c r="B34" t="inlineStr">
        <is>
          <t>2026-09-18T14:52:48.574217+00:00</t>
        </is>
      </c>
    </row>
    <row r="35">
      <c r="A35" t="inlineStr">
        <is>
          <t>128-step completed UTC</t>
        </is>
      </c>
      <c r="B35" t="inlineStr">
        <is>
          <t>2026-09-18T15:44:20.666231+00:00</t>
        </is>
      </c>
    </row>
    <row r="36">
      <c r="A36" t="inlineStr">
        <is>
          <t>128-step source summary</t>
        </is>
      </c>
      <c r="B36" t="inlineStr">
        <is>
          <t>/Users/rkuiper/Library/CloudStorage/GoogleDrive-ruurd.kuiper@gmail.com/My Drive/lad-generic-results/validation/benchmark_runs/20260918T145248.574217Z--colab-validation/summary.json</t>
        </is>
      </c>
    </row>
    <row r="37">
      <c r="A37" t="inlineStr">
        <is>
          <t>128-step imported metrics</t>
        </is>
      </c>
      <c r="B37" t="inlineStr">
        <is>
          <t>Token-weighted perplexity and mean sliding model-token Distinct-1/2/3</t>
        </is>
      </c>
    </row>
    <row r="38">
      <c r="A38" t="inlineStr">
        <is>
          <t>128-step imported columns</t>
        </is>
      </c>
      <c r="B38" t="inlineStr">
        <is>
          <t>Gemma D/AR; Llama D/merged/continued/frontier-25k/frontier-50k/AR; Qwen D/AR; Ministral D/AR; LLaDA</t>
        </is>
      </c>
    </row>
    <row r="39">
      <c r="A39" t="inlineStr">
        <is>
          <t>128-step models absent from run</t>
        </is>
      </c>
      <c r="B39" t="inlineStr">
        <is>
          <t>llama-3.1-8b-struct and LAD-8B-struct-legacy; existing workbook cells preserved</t>
        </is>
      </c>
    </row>
    <row r="41">
      <c r="A41" t="inlineStr">
        <is>
          <t>Accuracy recovery run ID</t>
        </is>
      </c>
      <c r="B41" t="inlineStr">
        <is>
          <t>20260918T155517.804510Z--colab-validation</t>
        </is>
      </c>
    </row>
    <row r="42">
      <c r="A42" t="inlineStr">
        <is>
          <t>Accuracy recovery run status</t>
        </is>
      </c>
      <c r="B42" t="inlineStr">
        <is>
          <t>INCOMPLETE: manifest remains running; no completed_at or top-level summary</t>
        </is>
      </c>
    </row>
    <row r="43">
      <c r="A43" t="inlineStr">
        <is>
          <t>Accuracy recovery started UTC</t>
        </is>
      </c>
      <c r="B43" t="inlineStr">
        <is>
          <t>2026-09-18T15:55:17.804510+00:00</t>
        </is>
      </c>
    </row>
    <row r="44">
      <c r="A44" t="inlineStr">
        <is>
          <t>Accuracy recovery source</t>
        </is>
      </c>
      <c r="B44" t="inlineStr">
        <is>
          <t>/Users/rkuiper/Library/CloudStorage/GoogleDrive-ruurd.kuiper@gmail.com/My Drive/lad-generic-results/validation/benchmark_runs/20260918T155517.804510Z--colab-validation</t>
        </is>
      </c>
    </row>
    <row r="45">
      <c r="A45" t="inlineStr">
        <is>
          <t>Completed groups imported</t>
        </is>
      </c>
      <c r="B45" t="inlineStr">
        <is>
          <t>102 model/task groups, each based on 50 samples</t>
        </is>
      </c>
    </row>
    <row r="46">
      <c r="A46" t="inlineStr">
        <is>
          <t>Fully completed model columns</t>
        </is>
      </c>
      <c r="B46" t="inlineStr">
        <is>
          <t>Frontier-25k; frontier-50k; merged Llama; Llama-25k; Llama-50k; Llama AR; LLaDA; Gemma D/AR; Qwen D/AR</t>
        </is>
      </c>
    </row>
    <row r="47">
      <c r="A47" t="inlineStr">
        <is>
          <t>Ministral imported</t>
        </is>
      </c>
      <c r="B47" t="inlineStr">
        <is>
          <t>Diffusion MMLU 28/50; AR MMLU 26/50; diffusion MMLU-Pro reconstructed as 15/50 from complete records</t>
        </is>
      </c>
    </row>
    <row r="48">
      <c r="A48" t="inlineStr">
        <is>
          <t>Failure point</t>
        </is>
      </c>
      <c r="B48" t="inlineStr">
        <is>
          <t>Ministral AR MMLU-Pro stopped after 39/50 (13 correct); not imported</t>
        </is>
      </c>
    </row>
    <row r="49">
      <c r="A49" t="inlineStr">
        <is>
          <t>Not reached</t>
        </is>
      </c>
      <c r="B49" t="inlineStr">
        <is>
          <t>Remaining Ministral tasks: HellaSwag, ARC-C, GSM8K, MATH, GPQA, HumanEval, MBPP</t>
        </is>
      </c>
    </row>
    <row r="50">
      <c r="A50" t="inlineStr">
        <is>
          <t>Artifact integrity note</t>
        </is>
      </c>
      <c r="B50" t="inlineStr">
        <is>
          <t>Llama-25k MATH summary reports 11/50 after task completion, but Drive JSONL lacks IDs 24-27 (46 records, 10 correct); saved aggregate 11/50 imported</t>
        </is>
      </c>
    </row>
    <row r="51">
      <c r="A51" t="inlineStr">
        <is>
          <t>Sample-size formatting</t>
        </is>
      </c>
      <c r="B51" t="inlineStr">
        <is>
          <t>Imported cells use black text: 50 samples per completed result</t>
        </is>
      </c>
    </row>
    <row r="53">
      <c r="A53" t="inlineStr">
        <is>
          <t>125-sample accuracy run ID</t>
        </is>
      </c>
      <c r="B53" t="inlineStr">
        <is>
          <t>20260921T170118.455805Z--colab-validation</t>
        </is>
      </c>
    </row>
    <row r="54">
      <c r="A54" t="inlineStr">
        <is>
          <t>125-sample run status</t>
        </is>
      </c>
      <c r="B54" t="inlineStr">
        <is>
          <t>INCOMPLETE: manifest remains running; no top-level summary.json</t>
        </is>
      </c>
    </row>
    <row r="55">
      <c r="A55" t="inlineStr">
        <is>
          <t>125-sample started UTC</t>
        </is>
      </c>
      <c r="B55" t="inlineStr">
        <is>
          <t>2026-09-21T17:01:18.455805+00:00</t>
        </is>
      </c>
    </row>
    <row r="56">
      <c r="A56" t="inlineStr">
        <is>
          <t>125-sample source directory</t>
        </is>
      </c>
      <c r="B56" t="inlineStr">
        <is>
          <t>/Users/rkuiper/Library/CloudStorage/GoogleDrive-ruurd.kuiper@gmail.com/My Drive/lad-generic-results/validation/benchmark_runs/20260921T170118.455805Z--colab-validation</t>
        </is>
      </c>
    </row>
    <row r="57">
      <c r="A57" t="inlineStr">
        <is>
          <t>Configured examples per task</t>
        </is>
      </c>
      <c r="B57" t="n">
        <v>125</v>
      </c>
    </row>
    <row r="58">
      <c r="A58" t="inlineStr">
        <is>
          <t>Completed groups imported</t>
        </is>
      </c>
      <c r="B58" t="inlineStr">
        <is>
          <t>47 model/task groups; every imported summary reports 125/125 examples</t>
        </is>
      </c>
    </row>
    <row r="59">
      <c r="A59" t="inlineStr">
        <is>
          <t>Fully completed model columns</t>
        </is>
      </c>
      <c r="B59" t="inlineStr">
        <is>
          <t>Llama-25k; merged Llama; Llama-50k; shared Llama AR parent; LLaDA (9 tasks each)</t>
        </is>
      </c>
    </row>
    <row r="60">
      <c r="A60" t="inlineStr">
        <is>
          <t>Partially completed model columns</t>
        </is>
      </c>
      <c r="B60" t="inlineStr">
        <is>
          <t>Gemma diffusion and Gemma AR: MMLU only</t>
        </is>
      </c>
    </row>
    <row r="61">
      <c r="A61" t="inlineStr">
        <is>
          <t>Not imported from this run</t>
        </is>
      </c>
      <c r="B61" t="inlineStr">
        <is>
          <t>Open-ended: no completed summaries; remaining Gemma tasks, Qwen, and Ministral: no completed summaries</t>
        </is>
      </c>
    </row>
    <row r="62">
      <c r="A62" t="inlineStr">
        <is>
          <t>Workbook preservation rule</t>
        </is>
      </c>
      <c r="B62" t="inlineStr">
        <is>
          <t>Only completed 125-sample accuracy cells were overwritten; all other prior values and open-ended metrics were preserved</t>
        </is>
      </c>
    </row>
    <row r="63">
      <c r="A63" t="inlineStr">
        <is>
          <t>Visual marking</t>
        </is>
      </c>
      <c r="B63" t="inlineStr">
        <is>
          <t>Blue accuracy cells are from this 125-sample run; black cells are preserved earlier results</t>
        </is>
      </c>
    </row>
    <row r="64">
      <c r="A64" t="inlineStr">
        <is>
          <t>Accuracy source</t>
        </is>
      </c>
      <c r="B64" t="inlineStr">
        <is>
          <t>Saved group summary accuracy (= correct / total); no partial JSONL groups imported</t>
        </is>
      </c>
    </row>
    <row r="65">
      <c r="A65" t="inlineStr">
        <is>
          <t>Import timestamp UTC</t>
        </is>
      </c>
      <c r="B65" t="inlineStr">
        <is>
          <t>2026-09-22T07:45:59.993074+00:00</t>
        </is>
      </c>
    </row>
    <row r="67">
      <c r="A67" t="inlineStr">
        <is>
          <t>32-NFE progression run ID</t>
        </is>
      </c>
      <c r="B67" t="inlineStr">
        <is>
          <t>20260923T134029.046940Z--colab-validation</t>
        </is>
      </c>
    </row>
    <row r="68">
      <c r="A68" t="inlineStr">
        <is>
          <t>32-NFE progression completed UTC</t>
        </is>
      </c>
      <c r="B68" t="inlineStr">
        <is>
          <t>2026-09-23T14:29:04.861603+00:00</t>
        </is>
      </c>
    </row>
    <row r="69">
      <c r="A69" t="inlineStr">
        <is>
          <t>32-NFE progression source</t>
        </is>
      </c>
      <c r="B69" t="inlineStr">
        <is>
          <t>/Users/rkuiper/Library/CloudStorage/GoogleDrive-ruurd.kuiper@gmail.com/My Drive/lad-generic-results/validation/benchmark_runs/20260923T134029.046940Z--colab-validation/summary.json</t>
        </is>
      </c>
    </row>
    <row r="70">
      <c r="A70" t="inlineStr">
        <is>
          <t>32-NFE imported global updates</t>
        </is>
      </c>
      <c r="B70" t="inlineStr">
        <is>
          <t>1k, 5k, 10k, 15k, 20k, 25k, 30k, 35k, 40k, 45k, 50k</t>
        </is>
      </c>
    </row>
    <row r="71">
      <c r="A71" t="inlineStr">
        <is>
          <t>32-NFE scored prompts per checkpoint</t>
        </is>
      </c>
      <c r="B71" t="n">
        <v>100</v>
      </c>
    </row>
    <row r="72">
      <c r="A72" t="inlineStr">
        <is>
          <t>32-NFE imported metrics</t>
        </is>
      </c>
      <c r="B72" t="inlineStr">
        <is>
          <t>Token-weighted perplexity; mean sliding model-token Distinct-1/2/3</t>
        </is>
      </c>
    </row>
    <row r="73">
      <c r="A73" t="inlineStr">
        <is>
          <t>64-NFE progression run ID</t>
        </is>
      </c>
      <c r="B73" t="inlineStr">
        <is>
          <t>20260923T190517.263478Z--colab-validation</t>
        </is>
      </c>
    </row>
    <row r="74">
      <c r="A74" t="inlineStr">
        <is>
          <t>64-NFE progression completed UTC</t>
        </is>
      </c>
      <c r="B74" t="inlineStr">
        <is>
          <t>2026-09-23T20:08:05.344501+00:00</t>
        </is>
      </c>
    </row>
    <row r="75">
      <c r="A75" t="inlineStr">
        <is>
          <t>64-NFE progression source</t>
        </is>
      </c>
      <c r="B75" t="inlineStr">
        <is>
          <t>/Users/rkuiper/Library/CloudStorage/GoogleDrive-ruurd.kuiper@gmail.com/My Drive/lad-generic-results/validation/benchmark_runs/20260923T190517.263478Z--colab-validation/summary.json</t>
        </is>
      </c>
    </row>
    <row r="76">
      <c r="A76" t="inlineStr">
        <is>
          <t>64-NFE imported global updates</t>
        </is>
      </c>
      <c r="B76" t="inlineStr">
        <is>
          <t>1k, 5k, 10k, 15k, 20k, 25k, 30k, 35k, 40k, 45k, 50k</t>
        </is>
      </c>
    </row>
    <row r="77">
      <c r="A77" t="inlineStr">
        <is>
          <t>64-NFE scored prompts per checkpoint</t>
        </is>
      </c>
      <c r="B77" t="n">
        <v>100</v>
      </c>
    </row>
    <row r="78">
      <c r="A78" t="inlineStr">
        <is>
          <t>64-NFE imported metrics</t>
        </is>
      </c>
      <c r="B78" t="inlineStr">
        <is>
          <t>Token-weighted perplexity; mean sliding model-token Distinct-1/2/3</t>
        </is>
      </c>
    </row>
    <row r="79">
      <c r="A79" t="inlineStr">
        <is>
          <t>128-NFE progression run ID</t>
        </is>
      </c>
      <c r="B79" t="inlineStr">
        <is>
          <t>20260923T201036.622289Z--colab-validation</t>
        </is>
      </c>
    </row>
    <row r="80">
      <c r="A80" t="inlineStr">
        <is>
          <t>128-NFE progression completed UTC</t>
        </is>
      </c>
      <c r="B80" t="inlineStr">
        <is>
          <t>2026-09-23T22:16:14.309989+00:00</t>
        </is>
      </c>
    </row>
    <row r="81">
      <c r="A81" t="inlineStr">
        <is>
          <t>128-NFE progression source</t>
        </is>
      </c>
      <c r="B81" t="inlineStr">
        <is>
          <t>/Users/rkuiper/Library/CloudStorage/GoogleDrive-ruurd.kuiper@gmail.com/My Drive/lad-generic-results/validation/benchmark_runs/20260923T201036.622289Z--colab-validation/summary.json</t>
        </is>
      </c>
    </row>
    <row r="82">
      <c r="A82" t="inlineStr">
        <is>
          <t>128-NFE imported global updates</t>
        </is>
      </c>
      <c r="B82" t="inlineStr">
        <is>
          <t>1k, 5k, 10k, 15k, 20k, 25k, 30k, 35k, 40k, 45k, 50k</t>
        </is>
      </c>
    </row>
    <row r="83">
      <c r="A83" t="inlineStr">
        <is>
          <t>128-NFE scored prompts per checkpoint</t>
        </is>
      </c>
      <c r="B83" t="n">
        <v>100</v>
      </c>
    </row>
    <row r="84">
      <c r="A84" t="inlineStr">
        <is>
          <t>128-NFE imported metrics</t>
        </is>
      </c>
      <c r="B84" t="inlineStr">
        <is>
          <t>Token-weighted perplexity; mean sliding model-token Distinct-1/2/3</t>
        </is>
      </c>
    </row>
    <row r="85">
      <c r="A85" t="inlineStr">
        <is>
          <t>Autoregressive reference run ID</t>
        </is>
      </c>
      <c r="B85" t="inlineStr">
        <is>
          <t>20260923T134029.046940Z--colab-validation</t>
        </is>
      </c>
    </row>
    <row r="86">
      <c r="A86" t="inlineStr">
        <is>
          <t>Autoregressive reference model</t>
        </is>
      </c>
      <c r="B86" t="inlineStr">
        <is>
          <t>meta-llama/Llama-3.1-8B-Instruct</t>
        </is>
      </c>
    </row>
    <row r="87">
      <c r="A87" t="inlineStr">
        <is>
          <t>Autoregressive reference scored prompts</t>
        </is>
      </c>
      <c r="B87" t="n">
        <v>100</v>
      </c>
    </row>
    <row r="88">
      <c r="A88" t="inlineStr">
        <is>
          <t>Autoregressive reference perplexity</t>
        </is>
      </c>
      <c r="B88" t="n">
        <v>2.638597726821899</v>
      </c>
    </row>
    <row r="89">
      <c r="A89" t="inlineStr">
        <is>
          <t>Autoregressive reference mean Distinct-1</t>
        </is>
      </c>
      <c r="B89" t="n">
        <v>0.620703125</v>
      </c>
    </row>
    <row r="90">
      <c r="A90" t="inlineStr">
        <is>
          <t>Long-run validation-loss source</t>
        </is>
      </c>
      <c r="B90" t="inlineStr">
        <is>
          <t>/Users/rkuiper/Library/CloudStorage/GoogleDrive-ruurd.kuiper@gmail.com/My Drive/lad-generic-results/outputs/llama-3.1-8b-mask-long/metrics.jsonl</t>
        </is>
      </c>
    </row>
    <row r="91">
      <c r="A91" t="inlineStr">
        <is>
          <t>Long-run validation-loss snapshot</t>
        </is>
      </c>
      <c r="B91" t="inlineStr">
        <is>
          <t>steps 500--50000 in increments of 500</t>
        </is>
      </c>
    </row>
    <row r="92">
      <c r="A92" t="inlineStr">
        <is>
          <t>Progression import timestamp UTC</t>
        </is>
      </c>
      <c r="B92" t="inlineStr">
        <is>
          <t>2026-09-24T05:47:36.907885+00:00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3" min="1" max="1"/>
    <col width="25" customWidth="1" style="33" min="2" max="2"/>
    <col width="28" customWidth="1" style="33" min="3" max="3"/>
    <col width="38" customWidth="1" style="33" min="4" max="4"/>
    <col width="34" customWidth="1" style="33" min="5" max="5"/>
  </cols>
  <sheetData>
    <row r="1">
      <c r="A1" s="35" t="inlineStr">
        <is>
          <t>Training update</t>
        </is>
      </c>
      <c r="B1" s="35" t="inlineStr">
        <is>
          <t>Weighted validation loss</t>
        </is>
      </c>
      <c r="C1" s="35" t="inlineStr">
        <is>
          <t>Unweighted masked-token CE</t>
        </is>
      </c>
      <c r="D1" s="35" t="inlineStr">
        <is>
          <t>Generation perplexity (when measured)</t>
        </is>
      </c>
      <c r="E1" s="35" t="inlineStr">
        <is>
          <t>Mean Distinct-1 (when measured)</t>
        </is>
      </c>
    </row>
    <row r="2">
      <c r="A2" t="n">
        <v>500</v>
      </c>
      <c r="B2" s="36" t="n">
        <v>0.9326033782958985</v>
      </c>
      <c r="C2" s="36" t="n">
        <v>1.400905139286184</v>
      </c>
      <c r="D2" s="36" t="n"/>
      <c r="E2" s="36" t="n"/>
    </row>
    <row r="3">
      <c r="A3" t="n">
        <v>1000</v>
      </c>
      <c r="B3" s="36" t="n">
        <v>0.8369197082519532</v>
      </c>
      <c r="C3" s="36" t="n">
        <v>1.274006599551194</v>
      </c>
      <c r="D3" s="36" t="n">
        <v>9.379040718078613</v>
      </c>
      <c r="E3" s="36" t="n">
        <v>0.4460520012461453</v>
      </c>
    </row>
    <row r="4">
      <c r="A4" t="n">
        <v>1500</v>
      </c>
      <c r="B4" s="36" t="n">
        <v>0.7949595642089844</v>
      </c>
      <c r="C4" s="36" t="n">
        <v>1.22095884091208</v>
      </c>
      <c r="D4" s="36" t="n"/>
      <c r="E4" s="36" t="n"/>
    </row>
    <row r="5">
      <c r="A5" t="n">
        <v>2000</v>
      </c>
      <c r="B5" s="36" t="n">
        <v>0.7763642883300781</v>
      </c>
      <c r="C5" s="36" t="n">
        <v>1.194531095876899</v>
      </c>
      <c r="D5" s="36" t="n">
        <v>10.39498615264893</v>
      </c>
      <c r="E5" s="36" t="n">
        <v>0.4732161117722639</v>
      </c>
    </row>
    <row r="6">
      <c r="A6" t="n">
        <v>2500</v>
      </c>
      <c r="B6" s="36" t="n">
        <v>0.7588334655761719</v>
      </c>
      <c r="C6" s="36" t="n">
        <v>1.16974553248504</v>
      </c>
      <c r="D6" s="36" t="n"/>
      <c r="E6" s="36" t="n"/>
    </row>
    <row r="7">
      <c r="A7" t="n">
        <v>3000</v>
      </c>
      <c r="B7" s="36" t="n">
        <v>0.7443574523925781</v>
      </c>
      <c r="C7" s="36" t="n">
        <v>1.152170233075229</v>
      </c>
      <c r="D7" s="36" t="n">
        <v>11.25090980529785</v>
      </c>
      <c r="E7" s="36" t="n">
        <v>0.4977473978160141</v>
      </c>
    </row>
    <row r="8">
      <c r="A8" t="n">
        <v>3500</v>
      </c>
      <c r="B8" s="36" t="n">
        <v>0.73343017578125</v>
      </c>
      <c r="C8" s="36" t="n">
        <v>1.140523278753206</v>
      </c>
      <c r="D8" s="36" t="n"/>
      <c r="E8" s="36" t="n"/>
    </row>
    <row r="9">
      <c r="A9" t="n">
        <v>4000</v>
      </c>
      <c r="B9" s="36" t="n">
        <v>0.7220189666748047</v>
      </c>
      <c r="C9" s="36" t="n">
        <v>1.124025428256724</v>
      </c>
      <c r="D9" s="36" t="n">
        <v>12.12383365631104</v>
      </c>
      <c r="E9" s="36" t="n">
        <v>0.5437696423348416</v>
      </c>
    </row>
    <row r="10">
      <c r="A10" t="n">
        <v>4500</v>
      </c>
      <c r="B10" s="36" t="n">
        <v>0.716419677734375</v>
      </c>
      <c r="C10" s="36" t="n">
        <v>1.118823773591109</v>
      </c>
      <c r="D10" s="36" t="n"/>
      <c r="E10" s="36" t="n"/>
    </row>
    <row r="11">
      <c r="A11" t="n">
        <v>5000</v>
      </c>
      <c r="B11" s="36" t="n">
        <v>0.7027589416503907</v>
      </c>
      <c r="C11" s="36" t="n">
        <v>1.098851346213915</v>
      </c>
      <c r="D11" s="36" t="n">
        <v>10.3658275604248</v>
      </c>
      <c r="E11" s="36" t="n">
        <v>0.5116928070492047</v>
      </c>
    </row>
    <row r="12">
      <c r="A12" t="n">
        <v>5500</v>
      </c>
      <c r="B12" s="36" t="n">
        <v>0.6984004211425782</v>
      </c>
      <c r="C12" s="36" t="n">
        <v>1.095057349205958</v>
      </c>
      <c r="D12" s="36" t="n"/>
      <c r="E12" s="36" t="n"/>
    </row>
    <row r="13">
      <c r="A13" t="n">
        <v>6000</v>
      </c>
      <c r="B13" s="36" t="n">
        <v>0.7002952575683594</v>
      </c>
      <c r="C13" s="36" t="n">
        <v>1.09357584089564</v>
      </c>
      <c r="D13" s="36" t="n">
        <v>10.71428298950195</v>
      </c>
      <c r="E13" s="36" t="n">
        <v>0.534460388633432</v>
      </c>
    </row>
    <row r="14">
      <c r="A14" t="n">
        <v>6500</v>
      </c>
      <c r="B14" s="36" t="n">
        <v>0.6915941619873047</v>
      </c>
      <c r="C14" s="36" t="n">
        <v>1.085743561764319</v>
      </c>
      <c r="D14" s="36" t="n"/>
      <c r="E14" s="36" t="n"/>
    </row>
    <row r="15">
      <c r="A15" t="n">
        <v>7000</v>
      </c>
      <c r="B15" s="36" t="n">
        <v>0.6836807250976562</v>
      </c>
      <c r="C15" s="36" t="n">
        <v>1.074490777273624</v>
      </c>
      <c r="D15" s="36" t="n">
        <v>10.44220924377441</v>
      </c>
      <c r="E15" s="36" t="n">
        <v>0.4585603734401374</v>
      </c>
    </row>
    <row r="16">
      <c r="A16" t="n">
        <v>7500</v>
      </c>
      <c r="B16" s="36" t="n">
        <v>0.6969524383544922</v>
      </c>
      <c r="C16" s="36" t="n">
        <v>1.098278907328862</v>
      </c>
      <c r="D16" s="36" t="n"/>
      <c r="E16" s="36" t="n"/>
    </row>
    <row r="17">
      <c r="A17" t="n">
        <v>8000</v>
      </c>
      <c r="B17" s="36" t="n">
        <v>0.6735015869140625</v>
      </c>
      <c r="C17" s="36" t="n">
        <v>1.062478551201749</v>
      </c>
      <c r="D17" s="36" t="n">
        <v>9.278932571411133</v>
      </c>
      <c r="E17" s="36" t="n">
        <v>0.4975395651466104</v>
      </c>
    </row>
    <row r="18">
      <c r="A18" t="n">
        <v>8500</v>
      </c>
      <c r="B18" s="36" t="n">
        <v>0.6668059539794922</v>
      </c>
      <c r="C18" s="36" t="n">
        <v>1.052012565142697</v>
      </c>
      <c r="D18" s="36" t="n"/>
      <c r="E18" s="36" t="n"/>
    </row>
    <row r="19">
      <c r="A19" t="n">
        <v>9000</v>
      </c>
      <c r="B19" s="36" t="n">
        <v>0.6711317443847656</v>
      </c>
      <c r="C19" s="36" t="n">
        <v>1.064239728722792</v>
      </c>
      <c r="D19" s="36" t="n">
        <v>10.67500591278076</v>
      </c>
      <c r="E19" s="36" t="n">
        <v>0.6103393242078601</v>
      </c>
    </row>
    <row r="20">
      <c r="A20" t="n">
        <v>9500</v>
      </c>
      <c r="B20" s="36" t="n">
        <v>0.6699082183837891</v>
      </c>
      <c r="C20" s="36" t="n">
        <v>1.056910789952818</v>
      </c>
      <c r="D20" s="36" t="n"/>
      <c r="E20" s="36" t="n"/>
    </row>
    <row r="21">
      <c r="A21" t="n">
        <v>10000</v>
      </c>
      <c r="B21" s="36" t="n">
        <v>0.6590463256835938</v>
      </c>
      <c r="C21" s="36" t="n">
        <v>1.044484422264418</v>
      </c>
      <c r="D21" s="36" t="n">
        <v>9.682579040527344</v>
      </c>
      <c r="E21" s="36" t="n">
        <v>0.4628361826409437</v>
      </c>
    </row>
    <row r="22">
      <c r="A22" t="n">
        <v>10500</v>
      </c>
      <c r="B22" s="36" t="n">
        <v>0.6620808410644531</v>
      </c>
      <c r="C22" s="36" t="n">
        <v>1.046954951358749</v>
      </c>
      <c r="D22" s="36" t="n"/>
      <c r="E22" s="36" t="n"/>
    </row>
    <row r="23">
      <c r="A23" t="n">
        <v>11000</v>
      </c>
      <c r="B23" s="36" t="n">
        <v>0.6596360778808594</v>
      </c>
      <c r="C23" s="36" t="n">
        <v>1.043326829338463</v>
      </c>
      <c r="D23" s="36" t="n">
        <v>9.111838340759277</v>
      </c>
      <c r="E23" s="36" t="n">
        <v>0.4464001483420763</v>
      </c>
    </row>
    <row r="24">
      <c r="A24" t="n">
        <v>11500</v>
      </c>
      <c r="B24" s="36" t="n">
        <v>0.6571797943115234</v>
      </c>
      <c r="C24" s="36" t="n">
        <v>1.0398726095507</v>
      </c>
      <c r="D24" s="36" t="n"/>
      <c r="E24" s="36" t="n"/>
    </row>
    <row r="25">
      <c r="A25" t="n">
        <v>12000</v>
      </c>
      <c r="B25" s="36" t="n">
        <v>0.6581926727294922</v>
      </c>
      <c r="C25" s="36" t="n">
        <v>1.035926544416223</v>
      </c>
      <c r="D25" s="36" t="n">
        <v>10.55819988250732</v>
      </c>
      <c r="E25" s="36" t="n">
        <v>0.4890144941001414</v>
      </c>
    </row>
    <row r="26">
      <c r="A26" t="n">
        <v>12500</v>
      </c>
      <c r="B26" s="36" t="n">
        <v>0.6537845611572266</v>
      </c>
      <c r="C26" s="36" t="n">
        <v>1.030603774680246</v>
      </c>
      <c r="D26" s="36" t="n"/>
      <c r="E26" s="36" t="n"/>
    </row>
    <row r="27">
      <c r="A27" t="n">
        <v>13000</v>
      </c>
      <c r="B27" s="36" t="n">
        <v>0.6549585723876953</v>
      </c>
      <c r="C27" s="36" t="n">
        <v>1.033580598162031</v>
      </c>
      <c r="D27" s="36" t="n">
        <v>8.386924743652344</v>
      </c>
      <c r="E27" s="36" t="n">
        <v>0.4048905054571394</v>
      </c>
    </row>
    <row r="28">
      <c r="A28" t="n">
        <v>13500</v>
      </c>
      <c r="B28" s="36" t="n">
        <v>0.6486707305908204</v>
      </c>
      <c r="C28" s="36" t="n">
        <v>1.023277468846584</v>
      </c>
      <c r="D28" s="36" t="n"/>
      <c r="E28" s="36" t="n"/>
    </row>
    <row r="29">
      <c r="A29" t="n">
        <v>14000</v>
      </c>
      <c r="B29" s="36" t="n">
        <v>0.6449297332763672</v>
      </c>
      <c r="C29" s="36" t="n">
        <v>1.020627578993227</v>
      </c>
      <c r="D29" s="36" t="n">
        <v>10.55343151092529</v>
      </c>
      <c r="E29" s="36" t="n">
        <v>0.5556775379036104</v>
      </c>
    </row>
    <row r="30">
      <c r="A30" t="n">
        <v>14500</v>
      </c>
      <c r="B30" s="36" t="n">
        <v>0.6436686706542969</v>
      </c>
      <c r="C30" s="36" t="n">
        <v>1.02002007710265</v>
      </c>
      <c r="D30" s="36" t="n"/>
      <c r="E30" s="36" t="n"/>
    </row>
    <row r="31">
      <c r="A31" t="n">
        <v>15000</v>
      </c>
      <c r="B31" s="36" t="n">
        <v>0.6438728332519531</v>
      </c>
      <c r="C31" s="36" t="n">
        <v>1.022220698115999</v>
      </c>
      <c r="D31" s="36" t="n">
        <v>8.963553428649902</v>
      </c>
      <c r="E31" s="36" t="n">
        <v>0.4498805550043065</v>
      </c>
    </row>
    <row r="32">
      <c r="A32" t="n">
        <v>15500</v>
      </c>
      <c r="B32" s="36" t="n">
        <v>0.633804931640625</v>
      </c>
      <c r="C32" s="36" t="n">
        <v>1.009838769255113</v>
      </c>
      <c r="D32" s="36" t="n"/>
      <c r="E32" s="36" t="n"/>
    </row>
    <row r="33">
      <c r="A33" t="n">
        <v>16000</v>
      </c>
      <c r="B33" s="36" t="n">
        <v>0.6378579330444336</v>
      </c>
      <c r="C33" s="36" t="n">
        <v>1.013021475512922</v>
      </c>
      <c r="D33" s="36" t="n">
        <v>8.535951614379883</v>
      </c>
      <c r="E33" s="36" t="n">
        <v>0.459070294658603</v>
      </c>
    </row>
    <row r="34">
      <c r="A34" t="n">
        <v>16500</v>
      </c>
      <c r="B34" s="36" t="n">
        <v>0.636617317199707</v>
      </c>
      <c r="C34" s="36" t="n">
        <v>1.010306982392977</v>
      </c>
      <c r="D34" s="36" t="n"/>
      <c r="E34" s="36" t="n"/>
    </row>
    <row r="35">
      <c r="A35" t="n">
        <v>17000</v>
      </c>
      <c r="B35" s="36" t="n">
        <v>0.6304290390014649</v>
      </c>
      <c r="C35" s="36" t="n">
        <v>1.006618945017097</v>
      </c>
      <c r="D35" s="36" t="n">
        <v>10.31134033203125</v>
      </c>
      <c r="E35" s="36" t="n">
        <v>0.4752305258724259</v>
      </c>
    </row>
    <row r="36">
      <c r="A36" t="n">
        <v>17500</v>
      </c>
      <c r="B36" s="36" t="n">
        <v>0.6277615737915039</v>
      </c>
      <c r="C36" s="36" t="n">
        <v>1.001732407875485</v>
      </c>
      <c r="D36" s="36" t="n"/>
      <c r="E36" s="36" t="n"/>
    </row>
    <row r="37">
      <c r="A37" t="n">
        <v>18000</v>
      </c>
      <c r="B37" s="36" t="n">
        <v>0.6318768310546875</v>
      </c>
      <c r="C37" s="36" t="n">
        <v>1.004371830201552</v>
      </c>
      <c r="D37" s="36" t="n">
        <v>8.386226654052734</v>
      </c>
      <c r="E37" s="36" t="n">
        <v>0.4272646929685412</v>
      </c>
    </row>
    <row r="38">
      <c r="A38" t="n">
        <v>18500</v>
      </c>
      <c r="B38" s="36" t="n">
        <v>0.6322880554199218</v>
      </c>
      <c r="C38" s="36" t="n">
        <v>1.002844662922503</v>
      </c>
      <c r="D38" s="36" t="n"/>
      <c r="E38" s="36" t="n"/>
    </row>
    <row r="39">
      <c r="A39" t="n">
        <v>19000</v>
      </c>
      <c r="B39" s="36" t="n">
        <v>0.6240024185180664</v>
      </c>
      <c r="C39" s="36" t="n">
        <v>0.9923990339564016</v>
      </c>
      <c r="D39" s="36" t="n">
        <v>8.37342643737793</v>
      </c>
      <c r="E39" s="36" t="n">
        <v>0.4794033391564469</v>
      </c>
    </row>
    <row r="40">
      <c r="A40" t="n">
        <v>19500</v>
      </c>
      <c r="B40" s="36" t="n">
        <v>0.6250827026367187</v>
      </c>
      <c r="C40" s="36" t="n">
        <v>0.9930757628066023</v>
      </c>
      <c r="D40" s="36" t="n"/>
      <c r="E40" s="36" t="n"/>
    </row>
    <row r="41">
      <c r="A41" t="n">
        <v>20000</v>
      </c>
      <c r="B41" s="36" t="n">
        <v>0.618851318359375</v>
      </c>
      <c r="C41" s="36" t="n">
        <v>0.9842967183081804</v>
      </c>
      <c r="D41" s="36" t="n">
        <v>9.217254638671875</v>
      </c>
      <c r="E41" s="36" t="n">
        <v>0.4942438871656272</v>
      </c>
    </row>
    <row r="42">
      <c r="A42" t="n">
        <v>20500</v>
      </c>
      <c r="B42" s="36" t="n">
        <v>0.6266111373901367</v>
      </c>
      <c r="C42" s="36" t="n">
        <v>0.9958219795982114</v>
      </c>
      <c r="D42" s="36" t="n"/>
      <c r="E42" s="36" t="n"/>
    </row>
    <row r="43">
      <c r="A43" t="n">
        <v>21000</v>
      </c>
      <c r="B43" s="36" t="n">
        <v>0.6237908172607421</v>
      </c>
      <c r="C43" s="36" t="n">
        <v>0.9948389953023279</v>
      </c>
      <c r="D43" s="36" t="n">
        <v>8.608489036560059</v>
      </c>
      <c r="E43" s="36" t="n">
        <v>0.4413319744019864</v>
      </c>
    </row>
    <row r="44">
      <c r="A44" t="n">
        <v>21500</v>
      </c>
      <c r="B44" s="36" t="n">
        <v>0.6260768127441406</v>
      </c>
      <c r="C44" s="36" t="n">
        <v>0.9950749963010456</v>
      </c>
      <c r="D44" s="36" t="n"/>
      <c r="E44" s="36" t="n"/>
    </row>
    <row r="45">
      <c r="A45" t="n">
        <v>22000</v>
      </c>
      <c r="B45" s="36" t="n">
        <v>0.6192929458618164</v>
      </c>
      <c r="C45" s="36" t="n">
        <v>0.9838923378213981</v>
      </c>
      <c r="D45" s="36" t="n">
        <v>9.362051963806152</v>
      </c>
      <c r="E45" s="36" t="n">
        <v>0.4963030260333667</v>
      </c>
    </row>
    <row r="46">
      <c r="A46" t="n">
        <v>22500</v>
      </c>
      <c r="B46" s="36" t="n">
        <v>0.620650749206543</v>
      </c>
      <c r="C46" s="36" t="n">
        <v>0.9878259446718617</v>
      </c>
      <c r="D46" s="36" t="n"/>
      <c r="E46" s="36" t="n"/>
    </row>
    <row r="47">
      <c r="A47" t="n">
        <v>23000</v>
      </c>
      <c r="B47" s="36" t="n">
        <v>0.6165711975097656</v>
      </c>
      <c r="C47" s="36" t="n">
        <v>0.9808258660690801</v>
      </c>
      <c r="D47" s="36" t="n">
        <v>7.977327346801758</v>
      </c>
      <c r="E47" s="36" t="n">
        <v>0.4502022358429611</v>
      </c>
    </row>
    <row r="48">
      <c r="A48" t="n">
        <v>23500</v>
      </c>
      <c r="B48" s="36" t="n">
        <v>0.6100642776489258</v>
      </c>
      <c r="C48" s="36" t="n">
        <v>0.9747649108962978</v>
      </c>
      <c r="D48" s="36" t="n"/>
      <c r="E48" s="36" t="n"/>
    </row>
    <row r="49">
      <c r="A49" t="n">
        <v>24000</v>
      </c>
      <c r="B49" s="36" t="n">
        <v>0.6101403045654297</v>
      </c>
      <c r="C49" s="36" t="n">
        <v>0.9764894199628461</v>
      </c>
      <c r="D49" s="36" t="n">
        <v>8.627016067504883</v>
      </c>
      <c r="E49" s="36" t="n">
        <v>0.4824491722770474</v>
      </c>
    </row>
    <row r="50">
      <c r="A50" t="n">
        <v>24500</v>
      </c>
      <c r="B50" s="36" t="n">
        <v>0.6105593109130859</v>
      </c>
      <c r="C50" s="36" t="n">
        <v>0.9767374297198659</v>
      </c>
      <c r="D50" s="36" t="n"/>
      <c r="E50" s="36" t="n"/>
    </row>
    <row r="51">
      <c r="A51" t="n">
        <v>25000</v>
      </c>
      <c r="B51" s="36" t="n">
        <v>0.6088002777099609</v>
      </c>
      <c r="C51" s="36" t="n">
        <v>0.9760831771552575</v>
      </c>
      <c r="D51" s="36" t="n">
        <v>8.810713768005371</v>
      </c>
      <c r="E51" s="36" t="n">
        <v>0.4917927812562113</v>
      </c>
    </row>
    <row r="52">
      <c r="A52" t="n">
        <v>25500</v>
      </c>
      <c r="B52" s="36" t="n">
        <v>0.6051789093017578</v>
      </c>
      <c r="C52" s="36" t="n">
        <v>0.9691646553601959</v>
      </c>
      <c r="D52" s="36" t="n"/>
      <c r="E52" s="36" t="n"/>
    </row>
    <row r="53">
      <c r="A53" t="n">
        <v>26000</v>
      </c>
      <c r="B53" s="36" t="n">
        <v>0.6047134017944336</v>
      </c>
      <c r="C53" s="36" t="n">
        <v>0.9685333286068916</v>
      </c>
      <c r="D53" s="36" t="n">
        <v>10.34000110626221</v>
      </c>
      <c r="E53" s="36" t="n">
        <v>0.5156299570043487</v>
      </c>
    </row>
    <row r="54">
      <c r="A54" t="n">
        <v>26500</v>
      </c>
      <c r="B54" s="36" t="n">
        <v>0.6071147537231445</v>
      </c>
      <c r="C54" s="36" t="n">
        <v>0.9723390775013152</v>
      </c>
      <c r="D54" s="36" t="n"/>
      <c r="E54" s="36" t="n"/>
    </row>
    <row r="55">
      <c r="A55" t="n">
        <v>27000</v>
      </c>
      <c r="B55" s="36" t="n">
        <v>0.6032805252075195</v>
      </c>
      <c r="C55" s="36" t="n">
        <v>0.9662363806552903</v>
      </c>
      <c r="D55" s="36" t="n">
        <v>8.241421699523926</v>
      </c>
      <c r="E55" s="36" t="n">
        <v>0.4298922612210541</v>
      </c>
    </row>
    <row r="56">
      <c r="A56" t="n">
        <v>27500</v>
      </c>
      <c r="B56" s="36" t="n">
        <v>0.6037910461425782</v>
      </c>
      <c r="C56" s="36" t="n">
        <v>0.9679303861913922</v>
      </c>
      <c r="D56" s="36" t="n"/>
      <c r="E56" s="36" t="n"/>
    </row>
    <row r="57">
      <c r="A57" t="n">
        <v>28000</v>
      </c>
      <c r="B57" s="36" t="n">
        <v>0.6053174591064453</v>
      </c>
      <c r="C57" s="36" t="n">
        <v>0.9672595653934044</v>
      </c>
      <c r="D57" s="36" t="n">
        <v>8.884090423583984</v>
      </c>
      <c r="E57" s="36" t="n">
        <v>0.4540432306145876</v>
      </c>
    </row>
    <row r="58">
      <c r="A58" t="n">
        <v>28500</v>
      </c>
      <c r="B58" s="36" t="n">
        <v>0.6061032485961914</v>
      </c>
      <c r="C58" s="36" t="n">
        <v>0.9691597747953246</v>
      </c>
      <c r="D58" s="36" t="n"/>
      <c r="E58" s="36" t="n"/>
    </row>
    <row r="59">
      <c r="A59" t="n">
        <v>29000</v>
      </c>
      <c r="B59" s="36" t="n">
        <v>0.6051257705688476</v>
      </c>
      <c r="C59" s="36" t="n">
        <v>0.9658332203097257</v>
      </c>
      <c r="D59" s="36" t="n">
        <v>9.215300559997559</v>
      </c>
      <c r="E59" s="36" t="n">
        <v>0.4903897412045287</v>
      </c>
    </row>
    <row r="60">
      <c r="A60" t="n">
        <v>29500</v>
      </c>
      <c r="B60" s="36" t="n">
        <v>0.6041581344604492</v>
      </c>
      <c r="C60" s="36" t="n">
        <v>0.9634102767228908</v>
      </c>
      <c r="D60" s="36" t="n"/>
      <c r="E60" s="36" t="n"/>
    </row>
    <row r="61">
      <c r="A61" t="n">
        <v>30000</v>
      </c>
      <c r="B61" s="36" t="n">
        <v>0.6023780822753906</v>
      </c>
      <c r="C61" s="36" t="n">
        <v>0.9614949118826857</v>
      </c>
      <c r="D61" s="36" t="n">
        <v>8.49738597869873</v>
      </c>
      <c r="E61" s="36" t="n">
        <v>0.5450502678064051</v>
      </c>
    </row>
    <row r="62">
      <c r="A62" t="n">
        <v>30500</v>
      </c>
      <c r="B62" s="36" t="n">
        <v>0.5997444915771485</v>
      </c>
      <c r="C62" s="36" t="n">
        <v>0.9591131962254225</v>
      </c>
      <c r="D62" s="36" t="n"/>
      <c r="E62" s="36" t="n"/>
    </row>
    <row r="63">
      <c r="A63" t="n">
        <v>31000</v>
      </c>
      <c r="B63" s="36" t="n">
        <v>0.5947803497314453</v>
      </c>
      <c r="C63" s="36" t="n">
        <v>0.9529699136294141</v>
      </c>
      <c r="D63" s="36" t="n">
        <v>9.118507385253906</v>
      </c>
      <c r="E63" s="36" t="n">
        <v>0.5368450209878135</v>
      </c>
    </row>
    <row r="64">
      <c r="A64" t="n">
        <v>31500</v>
      </c>
      <c r="B64" s="36" t="n">
        <v>0.5941998672485351</v>
      </c>
      <c r="C64" s="36" t="n">
        <v>0.9515381742371934</v>
      </c>
      <c r="D64" s="36" t="n"/>
      <c r="E64" s="36" t="n"/>
    </row>
    <row r="65">
      <c r="A65" t="n">
        <v>32000</v>
      </c>
      <c r="B65" s="36" t="n">
        <v>0.594937629699707</v>
      </c>
      <c r="C65" s="36" t="n">
        <v>0.95228014853357</v>
      </c>
      <c r="D65" s="36" t="n">
        <v>8.116879463195801</v>
      </c>
      <c r="E65" s="36" t="n">
        <v>0.4636403388920946</v>
      </c>
    </row>
    <row r="66">
      <c r="A66" t="n">
        <v>32500</v>
      </c>
      <c r="B66" s="36" t="n">
        <v>0.5902195739746093</v>
      </c>
      <c r="C66" s="36" t="n">
        <v>0.9460431077176629</v>
      </c>
      <c r="D66" s="36" t="n"/>
      <c r="E66" s="36" t="n"/>
    </row>
    <row r="67">
      <c r="A67" t="n">
        <v>33000</v>
      </c>
      <c r="B67" s="36" t="n">
        <v>0.5908211517333984</v>
      </c>
      <c r="C67" s="36" t="n">
        <v>0.9485492135611889</v>
      </c>
      <c r="D67" s="36" t="n">
        <v>7.598437786102295</v>
      </c>
      <c r="E67" s="36" t="n">
        <v>0.4509334389045304</v>
      </c>
    </row>
    <row r="68">
      <c r="A68" t="n">
        <v>33500</v>
      </c>
      <c r="B68" s="36" t="n">
        <v>0.5914762115478516</v>
      </c>
      <c r="C68" s="36" t="n">
        <v>0.9495889023147235</v>
      </c>
      <c r="D68" s="36" t="n"/>
      <c r="E68" s="36" t="n"/>
    </row>
    <row r="69">
      <c r="A69" t="n">
        <v>34000</v>
      </c>
      <c r="B69" s="36" t="n">
        <v>0.5879181289672851</v>
      </c>
      <c r="C69" s="36" t="n">
        <v>0.9449523656868547</v>
      </c>
      <c r="D69" s="36" t="n">
        <v>8.190478324890137</v>
      </c>
      <c r="E69" s="36" t="n">
        <v>0.469341594610315</v>
      </c>
    </row>
    <row r="70">
      <c r="A70" t="n">
        <v>34500</v>
      </c>
      <c r="B70" s="36" t="n">
        <v>0.5876692199707031</v>
      </c>
      <c r="C70" s="36" t="n">
        <v>0.9428571263439535</v>
      </c>
      <c r="D70" s="36" t="n"/>
      <c r="E70" s="36" t="n"/>
    </row>
    <row r="71">
      <c r="A71" t="n">
        <v>35000</v>
      </c>
      <c r="B71" s="36" t="n">
        <v>0.5906589889526367</v>
      </c>
      <c r="C71" s="36" t="n">
        <v>0.9466159319104689</v>
      </c>
      <c r="D71" s="36" t="n">
        <v>9.14244270324707</v>
      </c>
      <c r="E71" s="36" t="n">
        <v>0.5112888888613785</v>
      </c>
    </row>
    <row r="72">
      <c r="A72" t="n">
        <v>35500</v>
      </c>
      <c r="B72" s="36" t="n">
        <v>0.586286506652832</v>
      </c>
      <c r="C72" s="36" t="n">
        <v>0.939960639528671</v>
      </c>
      <c r="D72" s="36" t="n"/>
      <c r="E72" s="36" t="n"/>
    </row>
    <row r="73">
      <c r="A73" t="n">
        <v>36000</v>
      </c>
      <c r="B73" s="36" t="n">
        <v>0.5885450744628906</v>
      </c>
      <c r="C73" s="36" t="n">
        <v>0.9435111862546853</v>
      </c>
      <c r="D73" s="36" t="n">
        <v>10.01877689361572</v>
      </c>
      <c r="E73" s="36" t="n">
        <v>0.5312607978580143</v>
      </c>
    </row>
    <row r="74">
      <c r="A74" t="n">
        <v>36500</v>
      </c>
      <c r="B74" s="36" t="n">
        <v>0.5903310012817383</v>
      </c>
      <c r="C74" s="36" t="n">
        <v>0.9471531151361215</v>
      </c>
      <c r="D74" s="36" t="n"/>
      <c r="E74" s="36" t="n"/>
    </row>
    <row r="75">
      <c r="A75" t="n">
        <v>37000</v>
      </c>
      <c r="B75" s="36" t="n">
        <v>0.5868780899047852</v>
      </c>
      <c r="C75" s="36" t="n">
        <v>0.9410054015009535</v>
      </c>
      <c r="D75" s="36" t="n">
        <v>9.192858695983887</v>
      </c>
      <c r="E75" s="36" t="n">
        <v>0.5242087892417184</v>
      </c>
    </row>
    <row r="76">
      <c r="A76" t="n">
        <v>37500</v>
      </c>
      <c r="B76" s="36" t="n">
        <v>0.5872265243530274</v>
      </c>
      <c r="C76" s="36" t="n">
        <v>0.9440466998134083</v>
      </c>
      <c r="D76" s="36" t="n"/>
      <c r="E76" s="36" t="n"/>
    </row>
    <row r="77">
      <c r="A77" t="n">
        <v>38000</v>
      </c>
      <c r="B77" s="36" t="n">
        <v>0.5850784683227539</v>
      </c>
      <c r="C77" s="36" t="n">
        <v>0.9380775763217597</v>
      </c>
      <c r="D77" s="36" t="n">
        <v>7.941597461700439</v>
      </c>
      <c r="E77" s="36" t="n">
        <v>0.4626886443514785</v>
      </c>
    </row>
    <row r="78">
      <c r="A78" t="n">
        <v>38500</v>
      </c>
      <c r="B78" s="36" t="n">
        <v>0.585356216430664</v>
      </c>
      <c r="C78" s="36" t="n">
        <v>0.9390375705883803</v>
      </c>
      <c r="D78" s="36" t="n"/>
      <c r="E78" s="36" t="n"/>
    </row>
    <row r="79">
      <c r="A79" t="n">
        <v>39000</v>
      </c>
      <c r="B79" s="36" t="n">
        <v>0.5830998992919922</v>
      </c>
      <c r="C79" s="36" t="n">
        <v>0.9359502279994411</v>
      </c>
      <c r="D79" s="36" t="n">
        <v>9.130845069885254</v>
      </c>
      <c r="E79" s="36" t="n">
        <v>0.4859780840542486</v>
      </c>
    </row>
    <row r="80">
      <c r="A80" t="n">
        <v>39500</v>
      </c>
      <c r="B80" s="36" t="n">
        <v>0.5821971130371094</v>
      </c>
      <c r="C80" s="36" t="n">
        <v>0.9336173179908923</v>
      </c>
      <c r="D80" s="36" t="n"/>
      <c r="E80" s="36" t="n"/>
    </row>
    <row r="81">
      <c r="A81" t="n">
        <v>40000</v>
      </c>
      <c r="B81" s="36" t="n">
        <v>0.5808587265014649</v>
      </c>
      <c r="C81" s="36" t="n">
        <v>0.933530816400342</v>
      </c>
      <c r="D81" s="36" t="n">
        <v>8.78441047668457</v>
      </c>
      <c r="E81" s="36" t="n">
        <v>0.4762019378134043</v>
      </c>
    </row>
    <row r="82">
      <c r="A82" t="n">
        <v>40500</v>
      </c>
      <c r="B82" s="36" t="n">
        <v>0.5817877197265625</v>
      </c>
      <c r="C82" s="36" t="n">
        <v>0.9349705188194581</v>
      </c>
      <c r="D82" s="36" t="n"/>
      <c r="E82" s="36" t="n"/>
    </row>
    <row r="83">
      <c r="A83" t="n">
        <v>41000</v>
      </c>
      <c r="B83" s="36" t="n">
        <v>0.5837049865722657</v>
      </c>
      <c r="C83" s="36" t="n">
        <v>0.9356345967317683</v>
      </c>
      <c r="D83" s="36" t="n">
        <v>8.844086647033691</v>
      </c>
      <c r="E83" s="36" t="n">
        <v>0.513887746441273</v>
      </c>
    </row>
    <row r="84">
      <c r="A84" t="n">
        <v>41500</v>
      </c>
      <c r="B84" s="36" t="n">
        <v>0.5815164184570313</v>
      </c>
      <c r="C84" s="36" t="n">
        <v>0.9366733864338791</v>
      </c>
      <c r="D84" s="36" t="n"/>
      <c r="E84" s="36" t="n"/>
    </row>
    <row r="85">
      <c r="A85" t="n">
        <v>42000</v>
      </c>
      <c r="B85" s="36" t="n">
        <v>0.5785604858398438</v>
      </c>
      <c r="C85" s="36" t="n">
        <v>0.9308133692542908</v>
      </c>
      <c r="D85" s="36" t="n">
        <v>9.179052352905273</v>
      </c>
      <c r="E85" s="36" t="n">
        <v>0.4892932658646173</v>
      </c>
    </row>
    <row r="86">
      <c r="A86" t="n">
        <v>42500</v>
      </c>
      <c r="B86" s="36" t="n">
        <v>0.582094383239746</v>
      </c>
      <c r="C86" s="36" t="n">
        <v>0.9354404658422109</v>
      </c>
      <c r="D86" s="36" t="n"/>
      <c r="E86" s="36" t="n"/>
    </row>
    <row r="87">
      <c r="A87" t="n">
        <v>43000</v>
      </c>
      <c r="B87" s="36" t="n">
        <v>0.5798147964477539</v>
      </c>
      <c r="C87" s="36" t="n">
        <v>0.9321120490358059</v>
      </c>
      <c r="D87" s="36" t="n">
        <v>9.192582130432129</v>
      </c>
      <c r="E87" s="36" t="n">
        <v>0.5057407421644596</v>
      </c>
    </row>
    <row r="88">
      <c r="A88" t="n">
        <v>43500</v>
      </c>
      <c r="B88" s="36" t="n">
        <v>0.5804045104980469</v>
      </c>
      <c r="C88" s="36" t="n">
        <v>0.9322205131682778</v>
      </c>
      <c r="D88" s="36" t="n"/>
      <c r="E88" s="36" t="n"/>
    </row>
    <row r="89">
      <c r="A89" t="n">
        <v>44000</v>
      </c>
      <c r="B89" s="36" t="n">
        <v>0.5795157241821289</v>
      </c>
      <c r="C89" s="36" t="n">
        <v>0.9314877862579733</v>
      </c>
      <c r="D89" s="36" t="n">
        <v>7.860970973968506</v>
      </c>
      <c r="E89" s="36" t="n">
        <v>0.4693382458532539</v>
      </c>
    </row>
    <row r="90">
      <c r="A90" t="n">
        <v>44500</v>
      </c>
      <c r="B90" s="36" t="n">
        <v>0.5797818374633789</v>
      </c>
      <c r="C90" s="36" t="n">
        <v>0.9314139998232722</v>
      </c>
      <c r="D90" s="36" t="n"/>
      <c r="E90" s="36" t="n"/>
    </row>
    <row r="91">
      <c r="A91" t="n">
        <v>45000</v>
      </c>
      <c r="B91" s="36" t="n">
        <v>0.5788670349121093</v>
      </c>
      <c r="C91" s="36" t="n">
        <v>0.9300084613582561</v>
      </c>
      <c r="D91" s="36" t="n">
        <v>9.701654434204102</v>
      </c>
      <c r="E91" s="36" t="n">
        <v>0.5542832938080392</v>
      </c>
    </row>
    <row r="92">
      <c r="A92" t="n">
        <v>45500</v>
      </c>
      <c r="B92" s="36" t="n">
        <v>0.5778833389282226</v>
      </c>
      <c r="C92" s="36" t="n">
        <v>0.9283337854277636</v>
      </c>
      <c r="D92" s="36" t="n"/>
      <c r="E92" s="36" t="n"/>
    </row>
    <row r="93">
      <c r="A93" t="n">
        <v>46000</v>
      </c>
      <c r="B93" s="36" t="n">
        <v>0.5763996887207031</v>
      </c>
      <c r="C93" s="36" t="n">
        <v>0.9253445036619649</v>
      </c>
      <c r="D93" s="36" t="n">
        <v>8.296367645263672</v>
      </c>
      <c r="E93" s="36" t="n">
        <v>0.4830075265940544</v>
      </c>
    </row>
    <row r="94">
      <c r="A94" t="n">
        <v>46500</v>
      </c>
      <c r="B94" s="36" t="n">
        <v>0.5772357177734375</v>
      </c>
      <c r="C94" s="36" t="n">
        <v>0.9246220516250739</v>
      </c>
      <c r="D94" s="36" t="n"/>
      <c r="E94" s="36" t="n"/>
    </row>
    <row r="95">
      <c r="A95" t="n">
        <v>47000</v>
      </c>
      <c r="B95" s="36" t="n">
        <v>0.5766669464111328</v>
      </c>
      <c r="C95" s="36" t="n">
        <v>0.9248193934125731</v>
      </c>
      <c r="D95" s="36" t="n">
        <v>9.079686164855957</v>
      </c>
      <c r="E95" s="36" t="n">
        <v>0.5333241440813352</v>
      </c>
    </row>
    <row r="96">
      <c r="A96" t="n">
        <v>47500</v>
      </c>
      <c r="B96" s="36" t="n">
        <v>0.5744880294799805</v>
      </c>
      <c r="C96" s="36" t="n">
        <v>0.9234557250567172</v>
      </c>
      <c r="D96" s="36" t="n"/>
      <c r="E96" s="36" t="n"/>
    </row>
    <row r="97">
      <c r="A97" t="n">
        <v>48000</v>
      </c>
      <c r="B97" s="36" t="n">
        <v>0.5746777725219726</v>
      </c>
      <c r="C97" s="36" t="n">
        <v>0.923127828158907</v>
      </c>
      <c r="D97" s="36" t="n">
        <v>10.63765048980713</v>
      </c>
      <c r="E97" s="36" t="n">
        <v>0.5098179534704589</v>
      </c>
    </row>
    <row r="98">
      <c r="A98" t="n">
        <v>48500</v>
      </c>
      <c r="B98" s="36" t="n">
        <v>0.5751006317138672</v>
      </c>
      <c r="C98" s="36" t="n">
        <v>0.9243602992248635</v>
      </c>
      <c r="D98" s="36" t="n"/>
      <c r="E98" s="36" t="n"/>
    </row>
    <row r="99">
      <c r="A99" t="n">
        <v>49000</v>
      </c>
      <c r="B99" s="36" t="n">
        <v>0.5755753326416015</v>
      </c>
      <c r="C99" s="36" t="n">
        <v>0.9237662831056421</v>
      </c>
      <c r="D99" s="36" t="n">
        <v>9.688684463500977</v>
      </c>
      <c r="E99" s="36" t="n">
        <v>0.5103583110853769</v>
      </c>
    </row>
    <row r="100">
      <c r="A100" t="n">
        <v>49500</v>
      </c>
      <c r="B100" s="36" t="n">
        <v>0.5756865692138672</v>
      </c>
      <c r="C100" s="36" t="n">
        <v>0.9245136517105609</v>
      </c>
      <c r="D100" s="36" t="n"/>
      <c r="E100" s="36" t="n"/>
    </row>
    <row r="101">
      <c r="A101" t="n">
        <v>50000</v>
      </c>
      <c r="B101" s="36" t="n">
        <v>0.5746515274047852</v>
      </c>
      <c r="C101" s="36" t="n">
        <v>0.9230384367602091</v>
      </c>
      <c r="D101" s="36" t="n">
        <v>8.013192176818848</v>
      </c>
      <c r="E101" s="36" t="n">
        <v>0.4569830508522568</v>
      </c>
    </row>
  </sheetData>
  <autoFilter ref="A1:E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Kuiper, R.J.A. (Ruurd)</dc:creator>
  <dcterms:created xmlns:dcterms="http://purl.org/dc/terms/" xmlns:xsi="http://www.w3.org/2001/XMLSchema-instance" xsi:type="dcterms:W3CDTF">2026-08-17T14:43:43Z</dcterms:created>
  <dcterms:modified xmlns:dcterms="http://purl.org/dc/terms/" xmlns:xsi="http://www.w3.org/2001/XMLSchema-instance" xsi:type="dcterms:W3CDTF">2026-09-24T05:47:36Z</dcterms:modified>
  <cp:lastModifiedBy>Kuiper, R.J.A. (Ruurd)</cp:lastModifiedBy>
</cp:coreProperties>
</file>